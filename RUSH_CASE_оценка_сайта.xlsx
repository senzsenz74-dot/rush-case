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тоги" state="visible" r:id="rId4"/>
    <sheet sheetId="2" name="Тестер 1" state="visible" r:id="rId5"/>
    <sheet sheetId="3" name="Тестер 2" state="visible" r:id="rId6"/>
    <sheet sheetId="4" name="Тестер 3" state="visible" r:id="rId7"/>
    <sheet sheetId="5" name="Тестер 4" state="visible" r:id="rId8"/>
    <sheet sheetId="6" name="Тестер 5" state="visible" r:id="rId9"/>
  </sheets>
  <calcPr calcId="171027"/>
</workbook>
</file>

<file path=xl/sharedStrings.xml><?xml version="1.0" encoding="utf-8"?>
<sst xmlns="http://schemas.openxmlformats.org/spreadsheetml/2006/main" count="731" uniqueCount="124">
  <si>
    <t>RUSH CASE — итоги оценки</t>
  </si>
  <si>
    <t>Каждый тестер заполняет свой лист. Новый тестер: скопируйте лист «Тестер 1», переименуйте и впишите название листа в колонку A ниже (до 10 листов).</t>
  </si>
  <si>
    <t>Лист</t>
  </si>
  <si>
    <t>Имя</t>
  </si>
  <si>
    <t>Дизайн</t>
  </si>
  <si>
    <t>Удобство</t>
  </si>
  <si>
    <t>Доступность</t>
  </si>
  <si>
    <t>Разнообразие</t>
  </si>
  <si>
    <t>Наполнение кейсов</t>
  </si>
  <si>
    <t>Открытие кейса</t>
  </si>
  <si>
    <t>Скорость сайта</t>
  </si>
  <si>
    <t>Мобильная версия</t>
  </si>
  <si>
    <t>Регистрация и вход</t>
  </si>
  <si>
    <t>Пополнение и вывод</t>
  </si>
  <si>
    <t>Бонусы</t>
  </si>
  <si>
    <t>Апгрейд</t>
  </si>
  <si>
    <t>Контракты</t>
  </si>
  <si>
    <t>Турниры</t>
  </si>
  <si>
    <t>Честность и доверие</t>
  </si>
  <si>
    <t>Желание вернуться</t>
  </si>
  <si>
    <t>Общая оценка</t>
  </si>
  <si>
    <t>Открыто кейсов</t>
  </si>
  <si>
    <t>Потрачено</t>
  </si>
  <si>
    <t>Выпало</t>
  </si>
  <si>
    <t>Окупаемость</t>
  </si>
  <si>
    <t>Итог для клиента</t>
  </si>
  <si>
    <t>Тестер 1</t>
  </si>
  <si>
    <t>Тестер 2</t>
  </si>
  <si>
    <t>Тестер 3</t>
  </si>
  <si>
    <t>Тестер 4</t>
  </si>
  <si>
    <t>Тестер 5</t>
  </si>
  <si>
    <t>СРЕДНЕЕ / ВСЕГО</t>
  </si>
  <si>
    <t>Общая оценка сайта (среднее по тестерам)</t>
  </si>
  <si>
    <t>Окупаемость кейсов для клиента</t>
  </si>
  <si>
    <t>Клиенты в минусе на, ₽</t>
  </si>
  <si>
    <t>Клиенты в минусе на, %</t>
  </si>
  <si>
    <t>ОКУПАЕМОСТЬ ПО КЕЙСАМ — все тестеры вместе</t>
  </si>
  <si>
    <t>Раздел</t>
  </si>
  <si>
    <t>Кейс</t>
  </si>
  <si>
    <t>Цена</t>
  </si>
  <si>
    <t>Открыто</t>
  </si>
  <si>
    <t>Популярные кейсы</t>
  </si>
  <si>
    <t>Сифон и Борода</t>
  </si>
  <si>
    <t>Оранж</t>
  </si>
  <si>
    <t>Сладкая вата</t>
  </si>
  <si>
    <t>Альтушка</t>
  </si>
  <si>
    <t>DRIP</t>
  </si>
  <si>
    <t>RUSH CASE</t>
  </si>
  <si>
    <t>Про игроки</t>
  </si>
  <si>
    <t>Zont1x ❤</t>
  </si>
  <si>
    <t>Жаб Жабыч</t>
  </si>
  <si>
    <t>S1MPLE PRIME</t>
  </si>
  <si>
    <t>DONK666</t>
  </si>
  <si>
    <t>Оружейные кейсы</t>
  </si>
  <si>
    <t>USP-S</t>
  </si>
  <si>
    <t>M4A1-S</t>
  </si>
  <si>
    <t>DEAGLE</t>
  </si>
  <si>
    <t>AK-47</t>
  </si>
  <si>
    <t>M4A4</t>
  </si>
  <si>
    <t>AWP</t>
  </si>
  <si>
    <t>Фарм кейсы</t>
  </si>
  <si>
    <t>ЛОВИ АПТЕЧКУ</t>
  </si>
  <si>
    <t>CO-CO</t>
  </si>
  <si>
    <t>Всё или ничего</t>
  </si>
  <si>
    <t>Premium</t>
  </si>
  <si>
    <t>KARAMBIT</t>
  </si>
  <si>
    <t>БАБА ЧАЙ</t>
  </si>
  <si>
    <t>Перчатки и агенты</t>
  </si>
  <si>
    <t>AGENTS</t>
  </si>
  <si>
    <t>ELITE GLOVES</t>
  </si>
  <si>
    <t>Bingo, bango, bongo</t>
  </si>
  <si>
    <t>THIS IS REAL LIFE</t>
  </si>
  <si>
    <t>RUSH B</t>
  </si>
  <si>
    <t>CRY LIKE BABIES</t>
  </si>
  <si>
    <t>CLUTCH</t>
  </si>
  <si>
    <t>1vs5</t>
  </si>
  <si>
    <t>Кейсы карт</t>
  </si>
  <si>
    <t>MIRAGE</t>
  </si>
  <si>
    <t>RUSH CASE — оценка сайта</t>
  </si>
  <si>
    <t>Жёлтые ячейки — заполняете вы. Остальное считается само.</t>
  </si>
  <si>
    <t>Имя / ник</t>
  </si>
  <si>
    <t>Дата теста</t>
  </si>
  <si>
    <t>Устройство</t>
  </si>
  <si>
    <t>1. ОЦЕНКА САЙТА — каждая оценка от 0 до 10</t>
  </si>
  <si>
    <t>№</t>
  </si>
  <si>
    <t>Критерий</t>
  </si>
  <si>
    <t>Что оценивать</t>
  </si>
  <si>
    <t>Оценка /10</t>
  </si>
  <si>
    <t>Комментарий</t>
  </si>
  <si>
    <t>Внешний вид, стиль, единое оформление, картинки кейсов</t>
  </si>
  <si>
    <t>Легко ли найти нужное, понятно ли меню и кнопки</t>
  </si>
  <si>
    <t>Цены кейсов, минимальное пополнение, можно ли играть с маленьким бюджетом</t>
  </si>
  <si>
    <t>Сколько разных кейсов, режимов и механик</t>
  </si>
  <si>
    <t>Интересные ли предметы, есть ли ради чего открывать</t>
  </si>
  <si>
    <t>Анимация рулетки, эмоции, звук</t>
  </si>
  <si>
    <t>Как быстро грузятся страницы и картинки</t>
  </si>
  <si>
    <t>Удобно ли пользоваться с телефона</t>
  </si>
  <si>
    <t>Быстро ли и понятно, вход через Steam</t>
  </si>
  <si>
    <t>Понятно ли, как пополнить баланс и вывести скин</t>
  </si>
  <si>
    <t>Ежедневный бонус, промокоды, R-COIN</t>
  </si>
  <si>
    <t>Понятность, интерес, ощущение честного шанса</t>
  </si>
  <si>
    <t>Понятность, интерес, подпись контракта</t>
  </si>
  <si>
    <t>Команды, регистрация, понятность правил</t>
  </si>
  <si>
    <t>Веришь ли, что всё честно; документы, поддержка</t>
  </si>
  <si>
    <t>Захочется ли зайти завтра</t>
  </si>
  <si>
    <t>ОБЩАЯ ОЦЕНКА</t>
  </si>
  <si>
    <t>Заполнено оценок</t>
  </si>
  <si>
    <t>2. ОТКРЫТИЕ КЕЙСОВ — в ячейки 1…10 впишите стоимость выпавшего предмета, ₽ (сколько открыли — столько и заполните)</t>
  </si>
  <si>
    <t>Цена открытия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</si>
  <si>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</si>
  <si>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</si>
  <si>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</si>
  <si>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</si>
  <si>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</si>
  <si>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</si>
  <si>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</si>
  <si>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</si>
  <si>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</si>
  <si>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</si>
  <si>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ИТОГО</t>
  </si>
  <si>
    <t>Окупаемость для клиента</t>
  </si>
  <si>
    <t>Клиент в минусе на, ₽</t>
  </si>
  <si>
    <t>Клиент в минусе на, %</t>
  </si>
  <si>
    <t>Клиент в плюсе на,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</si>
</sst>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 &quot;₽&quot;"/>
    <numFmt numFmtId="165" formatCode="0.0%"/>
    <numFmt numFmtId="166" formatCode="+#,##0 &quot;₽&quot;;-#,##0 &quot;₽&quot;;0 &quot;₽&quot;"/>
    <numFmt numFmtId="167" formatCode="0.0"/>
    <numFmt numFmtId="168" formatCode="dd.mm.yyyy"/>
    <numFmt numFmtId="169" formatCode="#,##0.##"/>
  </numFmts>
  <fonts count="10" x14ac:knownFonts="1">
    <font>
      <color theme="1"/>
      <family val="2"/>
      <scheme val="minor"/>
      <sz val="11"/>
      <name val="Calibri"/>
    </font>
    <font>
      <b/>
      <color rgb="FFF5C76B"/>
      <sz val="18"/>
    </font>
    <font>
      <i/>
      <color rgb="FF7A7466"/>
    </font>
    <font>
      <b/>
    </font>
    <font>
      <b/>
      <sz val="12"/>
    </font>
    <font>
      <b/>
      <sz val="13"/>
    </font>
    <font>
      <b/>
      <sz val="14"/>
    </font>
    <font>
      <b/>
      <color rgb="FFFFFFFF"/>
      <sz val="13"/>
    </font>
    <font>
      <color rgb="FF6B6558"/>
    </font>
    <font>
      <b/>
      <sz val="16"/>
    </font>
  </fonts>
  <fills count="7">
    <fill>
      <patternFill patternType="none"/>
    </fill>
    <fill>
      <patternFill patternType="gray125"/>
    </fill>
    <fill>
      <patternFill patternType="solid">
        <fgColor rgb="FF1B1A17"/>
      </patternFill>
    </fill>
    <fill>
      <patternFill patternType="solid">
        <fgColor rgb="FFEDE6D3"/>
      </patternFill>
    </fill>
    <fill>
      <patternFill patternType="solid">
        <fgColor rgb="FFFFF7D6"/>
      </patternFill>
    </fill>
    <fill>
      <patternFill patternType="solid">
        <fgColor rgb="FFFFE9A8"/>
      </patternFill>
    </fill>
    <fill>
      <patternFill patternType="solid">
        <fgColor rgb="FF2B2722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165" fontId="4" fillId="5" borderId="1" xfId="0" applyNumberFormat="1" applyFont="1" applyFill="1" applyBorder="1"/>
    <xf numFmtId="166" fontId="4" fillId="5" borderId="1" xfId="0" applyNumberFormat="1" applyFont="1" applyFill="1" applyBorder="1"/>
    <xf numFmtId="0" fontId="5" fillId="0" borderId="0" xfId="0" applyFont="1"/>
    <xf numFmtId="167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6" borderId="0" xfId="0" applyFont="1" applyFill="1"/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1" fillId="2" borderId="0" xfId="0" applyFont="1" applyFill="1" applyAlignment="1">
      <alignment vertical="center"/>
    </xf>
    <xf numFmtId="0" fontId="3" fillId="0" borderId="0" xfId="0" applyFont="1"/>
    <xf numFmtId="168" fontId="0" fillId="4" borderId="1" xfId="0" applyNumberFormat="1" applyFill="1" applyBorder="1"/>
    <xf numFmtId="0" fontId="3" fillId="3" borderId="1" xfId="0" applyFont="1" applyFill="1" applyBorder="1"/>
    <xf numFmtId="0" fontId="8" fillId="0" borderId="1" xfId="0" applyFont="1" applyBorder="1"/>
    <xf numFmtId="0" fontId="4" fillId="4" borderId="1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right"/>
    </xf>
    <xf numFmtId="0" fontId="9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69" fontId="0" fillId="4" borderId="1" xfId="0" applyNumberFormat="1" applyFill="1" applyBorder="1"/>
    <xf numFmtId="0" fontId="4" fillId="0" borderId="0" xfId="0" applyFont="1"/>
    <xf numFmtId="165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2">
    <dxf>
      <font>
        <b/>
        <color rgb="FFB91C1C"/>
      </font>
      <fill>
        <patternFill patternType="solid">
          <fgColor rgb="FFFCDCDC"/>
        </patternFill>
      </fill>
    </dxf>
    <dxf>
      <font>
        <b/>
        <color rgb="FF15803D"/>
      </font>
      <fill>
        <patternFill patternType="solid">
          <fgColor rgb="FFD9F7DF"/>
        </patternFill>
      </fill>
    </dxf>
    <dxf>
      <font>
        <b/>
        <color rgb="FFB91C1C"/>
      </font>
      <fill>
        <patternFill patternType="solid">
          <fgColor rgb="FFFCDCDC"/>
        </patternFill>
      </fill>
    </dxf>
    <dxf>
      <font>
        <b/>
        <color rgb="FF15803D"/>
      </font>
      <fill>
        <patternFill patternType="solid">
          <fgColor rgb="FFD9F7DF"/>
        </patternFill>
      </fill>
    </dxf>
    <dxf>
      <font>
        <b/>
        <color rgb="FFB91C1C"/>
      </font>
    </dxf>
    <dxf>
      <font>
        <b/>
        <color rgb="FF15803D"/>
      </font>
    </dxf>
    <dxf>
      <font>
        <b/>
        <color rgb="FFB91C1C"/>
      </font>
      <fill>
        <patternFill patternType="solid">
          <fgColor rgb="FFFCDCDC"/>
        </patternFill>
      </fill>
    </dxf>
    <dxf>
      <font>
        <b/>
        <color rgb="FF15803D"/>
      </font>
      <fill>
        <patternFill patternType="solid">
          <fgColor rgb="FFD9F7DF"/>
        </patternFill>
      </fill>
    </dxf>
    <dxf>
      <font>
        <b/>
        <color rgb="FFB91C1C"/>
      </font>
    </dxf>
    <dxf>
      <font>
        <b/>
        <color rgb="FF15803D"/>
      </font>
    </dxf>
    <dxf>
      <font>
        <b/>
        <color rgb="FFB91C1C"/>
      </font>
      <fill>
        <patternFill patternType="solid">
          <fgColor rgb="FFFCDCDC"/>
        </patternFill>
      </fill>
    </dxf>
    <dxf>
      <font>
        <b/>
        <color rgb="FF15803D"/>
      </font>
      <fill>
        <patternFill patternType="solid">
          <fgColor rgb="FFD9F7DF"/>
        </patternFill>
      </fill>
    </dxf>
    <dxf>
      <font>
        <b/>
        <color rgb="FFB91C1C"/>
      </font>
    </dxf>
    <dxf>
      <font>
        <b/>
        <color rgb="FF15803D"/>
      </font>
    </dxf>
    <dxf>
      <font>
        <b/>
        <color rgb="FFB91C1C"/>
      </font>
      <fill>
        <patternFill patternType="solid">
          <fgColor rgb="FFFCDCDC"/>
        </patternFill>
      </fill>
    </dxf>
    <dxf>
      <font>
        <b/>
        <color rgb="FF15803D"/>
      </font>
      <fill>
        <patternFill patternType="solid">
          <fgColor rgb="FFD9F7DF"/>
        </patternFill>
      </fill>
    </dxf>
    <dxf>
      <font>
        <b/>
        <color rgb="FFB91C1C"/>
      </font>
    </dxf>
    <dxf>
      <font>
        <b/>
        <color rgb="FF15803D"/>
      </font>
    </dxf>
    <dxf>
      <font>
        <b/>
        <color rgb="FFB91C1C"/>
      </font>
      <fill>
        <patternFill patternType="solid">
          <fgColor rgb="FFFCDCDC"/>
        </patternFill>
      </fill>
    </dxf>
    <dxf>
      <font>
        <b/>
        <color rgb="FF15803D"/>
      </font>
      <fill>
        <patternFill patternType="solid">
          <fgColor rgb="FFD9F7DF"/>
        </patternFill>
      </fill>
    </dxf>
    <dxf>
      <font>
        <b/>
        <color rgb="FFB91C1C"/>
      </font>
    </dxf>
    <dxf>
      <font>
        <b/>
        <color rgb="FF1580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X51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8" customWidth="1"/>
    <col min="3" max="18" width="11" customWidth="1"/>
    <col min="19" max="19" width="12" customWidth="1"/>
    <col min="20" max="20" width="11" customWidth="1"/>
    <col min="21" max="22" width="13" customWidth="1"/>
    <col min="23" max="23" width="12" customWidth="1"/>
    <col min="24" max="24" width="14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4" ht="46" customHeight="1" spans="1:2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spans="1:24" x14ac:dyDescent="0.25">
      <c r="A5" s="4" t="s">
        <v>26</v>
      </c>
      <c r="B5" s="5">
        <f>IFERROR(IF(INDIRECT("'"&amp;$A5&amp;"'!B3")="","",INDIRECT("'"&amp;$A5&amp;"'!B3")),"")</f>
      </c>
      <c r="C5" s="6">
        <f>IFERROR(IF(INDIRECT("'"&amp;$A5&amp;"'!D7")="","",INDIRECT("'"&amp;$A5&amp;"'!D7")),"")</f>
      </c>
      <c r="D5" s="6">
        <f>IFERROR(IF(INDIRECT("'"&amp;$A5&amp;"'!D8")="","",INDIRECT("'"&amp;$A5&amp;"'!D8")),"")</f>
      </c>
      <c r="E5" s="6">
        <f>IFERROR(IF(INDIRECT("'"&amp;$A5&amp;"'!D9")="","",INDIRECT("'"&amp;$A5&amp;"'!D9")),"")</f>
      </c>
      <c r="F5" s="6">
        <f>IFERROR(IF(INDIRECT("'"&amp;$A5&amp;"'!D10")="","",INDIRECT("'"&amp;$A5&amp;"'!D10")),"")</f>
      </c>
      <c r="G5" s="6">
        <f>IFERROR(IF(INDIRECT("'"&amp;$A5&amp;"'!D11")="","",INDIRECT("'"&amp;$A5&amp;"'!D11")),"")</f>
      </c>
      <c r="H5" s="6">
        <f>IFERROR(IF(INDIRECT("'"&amp;$A5&amp;"'!D12")="","",INDIRECT("'"&amp;$A5&amp;"'!D12")),"")</f>
      </c>
      <c r="I5" s="6">
        <f>IFERROR(IF(INDIRECT("'"&amp;$A5&amp;"'!D13")="","",INDIRECT("'"&amp;$A5&amp;"'!D13")),"")</f>
      </c>
      <c r="J5" s="6">
        <f>IFERROR(IF(INDIRECT("'"&amp;$A5&amp;"'!D14")="","",INDIRECT("'"&amp;$A5&amp;"'!D14")),"")</f>
      </c>
      <c r="K5" s="6">
        <f>IFERROR(IF(INDIRECT("'"&amp;$A5&amp;"'!D15")="","",INDIRECT("'"&amp;$A5&amp;"'!D15")),"")</f>
      </c>
      <c r="L5" s="6">
        <f>IFERROR(IF(INDIRECT("'"&amp;$A5&amp;"'!D16")="","",INDIRECT("'"&amp;$A5&amp;"'!D16")),"")</f>
      </c>
      <c r="M5" s="6">
        <f>IFERROR(IF(INDIRECT("'"&amp;$A5&amp;"'!D17")="","",INDIRECT("'"&amp;$A5&amp;"'!D17")),"")</f>
      </c>
      <c r="N5" s="6">
        <f>IFERROR(IF(INDIRECT("'"&amp;$A5&amp;"'!D18")="","",INDIRECT("'"&amp;$A5&amp;"'!D18")),"")</f>
      </c>
      <c r="O5" s="6">
        <f>IFERROR(IF(INDIRECT("'"&amp;$A5&amp;"'!D19")="","",INDIRECT("'"&amp;$A5&amp;"'!D19")),"")</f>
      </c>
      <c r="P5" s="6">
        <f>IFERROR(IF(INDIRECT("'"&amp;$A5&amp;"'!D20")="","",INDIRECT("'"&amp;$A5&amp;"'!D20")),"")</f>
      </c>
      <c r="Q5" s="6">
        <f>IFERROR(IF(INDIRECT("'"&amp;$A5&amp;"'!D21")="","",INDIRECT("'"&amp;$A5&amp;"'!D21")),"")</f>
      </c>
      <c r="R5" s="6">
        <f>IFERROR(IF(INDIRECT("'"&amp;$A5&amp;"'!D22")="","",INDIRECT("'"&amp;$A5&amp;"'!D22")),"")</f>
      </c>
      <c r="S5" s="7">
        <f>IFERROR(IF(INDIRECT("'"&amp;$A5&amp;"'!D24")="","",INDIRECT("'"&amp;$A5&amp;"'!D24")),"")</f>
      </c>
      <c r="T5" s="5">
        <f>IFERROR(IF(INDIRECT("'"&amp;$A5&amp;"'!N58")="","",INDIRECT("'"&amp;$A5&amp;"'!N58")),"")</f>
      </c>
      <c r="U5" s="8">
        <f>IFERROR(IF(INDIRECT("'"&amp;$A5&amp;"'!O58")="","",INDIRECT("'"&amp;$A5&amp;"'!O58")),"")</f>
      </c>
      <c r="V5" s="8">
        <f>IFERROR(IF(INDIRECT("'"&amp;$A5&amp;"'!P58")="","",INDIRECT("'"&amp;$A5&amp;"'!P58")),"")</f>
      </c>
      <c r="W5" s="9">
        <f>IF(N(U5)&gt;0,V5/U5,"")</f>
      </c>
      <c r="X5" s="10">
        <f>IF(N(U5)&gt;0,V5-U5,"")</f>
      </c>
    </row>
    <row r="6" spans="1:24" x14ac:dyDescent="0.25">
      <c r="A6" s="4" t="s">
        <v>27</v>
      </c>
      <c r="B6" s="5">
        <f>IFERROR(IF(INDIRECT("'"&amp;$A6&amp;"'!B3")="","",INDIRECT("'"&amp;$A6&amp;"'!B3")),"")</f>
      </c>
      <c r="C6" s="6">
        <f>IFERROR(IF(INDIRECT("'"&amp;$A6&amp;"'!D7")="","",INDIRECT("'"&amp;$A6&amp;"'!D7")),"")</f>
      </c>
      <c r="D6" s="6">
        <f>IFERROR(IF(INDIRECT("'"&amp;$A6&amp;"'!D8")="","",INDIRECT("'"&amp;$A6&amp;"'!D8")),"")</f>
      </c>
      <c r="E6" s="6">
        <f>IFERROR(IF(INDIRECT("'"&amp;$A6&amp;"'!D9")="","",INDIRECT("'"&amp;$A6&amp;"'!D9")),"")</f>
      </c>
      <c r="F6" s="6">
        <f>IFERROR(IF(INDIRECT("'"&amp;$A6&amp;"'!D10")="","",INDIRECT("'"&amp;$A6&amp;"'!D10")),"")</f>
      </c>
      <c r="G6" s="6">
        <f>IFERROR(IF(INDIRECT("'"&amp;$A6&amp;"'!D11")="","",INDIRECT("'"&amp;$A6&amp;"'!D11")),"")</f>
      </c>
      <c r="H6" s="6">
        <f>IFERROR(IF(INDIRECT("'"&amp;$A6&amp;"'!D12")="","",INDIRECT("'"&amp;$A6&amp;"'!D12")),"")</f>
      </c>
      <c r="I6" s="6">
        <f>IFERROR(IF(INDIRECT("'"&amp;$A6&amp;"'!D13")="","",INDIRECT("'"&amp;$A6&amp;"'!D13")),"")</f>
      </c>
      <c r="J6" s="6">
        <f>IFERROR(IF(INDIRECT("'"&amp;$A6&amp;"'!D14")="","",INDIRECT("'"&amp;$A6&amp;"'!D14")),"")</f>
      </c>
      <c r="K6" s="6">
        <f>IFERROR(IF(INDIRECT("'"&amp;$A6&amp;"'!D15")="","",INDIRECT("'"&amp;$A6&amp;"'!D15")),"")</f>
      </c>
      <c r="L6" s="6">
        <f>IFERROR(IF(INDIRECT("'"&amp;$A6&amp;"'!D16")="","",INDIRECT("'"&amp;$A6&amp;"'!D16")),"")</f>
      </c>
      <c r="M6" s="6">
        <f>IFERROR(IF(INDIRECT("'"&amp;$A6&amp;"'!D17")="","",INDIRECT("'"&amp;$A6&amp;"'!D17")),"")</f>
      </c>
      <c r="N6" s="6">
        <f>IFERROR(IF(INDIRECT("'"&amp;$A6&amp;"'!D18")="","",INDIRECT("'"&amp;$A6&amp;"'!D18")),"")</f>
      </c>
      <c r="O6" s="6">
        <f>IFERROR(IF(INDIRECT("'"&amp;$A6&amp;"'!D19")="","",INDIRECT("'"&amp;$A6&amp;"'!D19")),"")</f>
      </c>
      <c r="P6" s="6">
        <f>IFERROR(IF(INDIRECT("'"&amp;$A6&amp;"'!D20")="","",INDIRECT("'"&amp;$A6&amp;"'!D20")),"")</f>
      </c>
      <c r="Q6" s="6">
        <f>IFERROR(IF(INDIRECT("'"&amp;$A6&amp;"'!D21")="","",INDIRECT("'"&amp;$A6&amp;"'!D21")),"")</f>
      </c>
      <c r="R6" s="6">
        <f>IFERROR(IF(INDIRECT("'"&amp;$A6&amp;"'!D22")="","",INDIRECT("'"&amp;$A6&amp;"'!D22")),"")</f>
      </c>
      <c r="S6" s="7">
        <f>IFERROR(IF(INDIRECT("'"&amp;$A6&amp;"'!D24")="","",INDIRECT("'"&amp;$A6&amp;"'!D24")),"")</f>
      </c>
      <c r="T6" s="5">
        <f>IFERROR(IF(INDIRECT("'"&amp;$A6&amp;"'!N58")="","",INDIRECT("'"&amp;$A6&amp;"'!N58")),"")</f>
      </c>
      <c r="U6" s="8">
        <f>IFERROR(IF(INDIRECT("'"&amp;$A6&amp;"'!O58")="","",INDIRECT("'"&amp;$A6&amp;"'!O58")),"")</f>
      </c>
      <c r="V6" s="8">
        <f>IFERROR(IF(INDIRECT("'"&amp;$A6&amp;"'!P58")="","",INDIRECT("'"&amp;$A6&amp;"'!P58")),"")</f>
      </c>
      <c r="W6" s="9">
        <f>IF(N(U6)&gt;0,V6/U6,"")</f>
      </c>
      <c r="X6" s="10">
        <f>IF(N(U6)&gt;0,V6-U6,"")</f>
      </c>
    </row>
    <row r="7" spans="1:24" x14ac:dyDescent="0.25">
      <c r="A7" s="4" t="s">
        <v>28</v>
      </c>
      <c r="B7" s="5">
        <f>IFERROR(IF(INDIRECT("'"&amp;$A7&amp;"'!B3")="","",INDIRECT("'"&amp;$A7&amp;"'!B3")),"")</f>
      </c>
      <c r="C7" s="6">
        <f>IFERROR(IF(INDIRECT("'"&amp;$A7&amp;"'!D7")="","",INDIRECT("'"&amp;$A7&amp;"'!D7")),"")</f>
      </c>
      <c r="D7" s="6">
        <f>IFERROR(IF(INDIRECT("'"&amp;$A7&amp;"'!D8")="","",INDIRECT("'"&amp;$A7&amp;"'!D8")),"")</f>
      </c>
      <c r="E7" s="6">
        <f>IFERROR(IF(INDIRECT("'"&amp;$A7&amp;"'!D9")="","",INDIRECT("'"&amp;$A7&amp;"'!D9")),"")</f>
      </c>
      <c r="F7" s="6">
        <f>IFERROR(IF(INDIRECT("'"&amp;$A7&amp;"'!D10")="","",INDIRECT("'"&amp;$A7&amp;"'!D10")),"")</f>
      </c>
      <c r="G7" s="6">
        <f>IFERROR(IF(INDIRECT("'"&amp;$A7&amp;"'!D11")="","",INDIRECT("'"&amp;$A7&amp;"'!D11")),"")</f>
      </c>
      <c r="H7" s="6">
        <f>IFERROR(IF(INDIRECT("'"&amp;$A7&amp;"'!D12")="","",INDIRECT("'"&amp;$A7&amp;"'!D12")),"")</f>
      </c>
      <c r="I7" s="6">
        <f>IFERROR(IF(INDIRECT("'"&amp;$A7&amp;"'!D13")="","",INDIRECT("'"&amp;$A7&amp;"'!D13")),"")</f>
      </c>
      <c r="J7" s="6">
        <f>IFERROR(IF(INDIRECT("'"&amp;$A7&amp;"'!D14")="","",INDIRECT("'"&amp;$A7&amp;"'!D14")),"")</f>
      </c>
      <c r="K7" s="6">
        <f>IFERROR(IF(INDIRECT("'"&amp;$A7&amp;"'!D15")="","",INDIRECT("'"&amp;$A7&amp;"'!D15")),"")</f>
      </c>
      <c r="L7" s="6">
        <f>IFERROR(IF(INDIRECT("'"&amp;$A7&amp;"'!D16")="","",INDIRECT("'"&amp;$A7&amp;"'!D16")),"")</f>
      </c>
      <c r="M7" s="6">
        <f>IFERROR(IF(INDIRECT("'"&amp;$A7&amp;"'!D17")="","",INDIRECT("'"&amp;$A7&amp;"'!D17")),"")</f>
      </c>
      <c r="N7" s="6">
        <f>IFERROR(IF(INDIRECT("'"&amp;$A7&amp;"'!D18")="","",INDIRECT("'"&amp;$A7&amp;"'!D18")),"")</f>
      </c>
      <c r="O7" s="6">
        <f>IFERROR(IF(INDIRECT("'"&amp;$A7&amp;"'!D19")="","",INDIRECT("'"&amp;$A7&amp;"'!D19")),"")</f>
      </c>
      <c r="P7" s="6">
        <f>IFERROR(IF(INDIRECT("'"&amp;$A7&amp;"'!D20")="","",INDIRECT("'"&amp;$A7&amp;"'!D20")),"")</f>
      </c>
      <c r="Q7" s="6">
        <f>IFERROR(IF(INDIRECT("'"&amp;$A7&amp;"'!D21")="","",INDIRECT("'"&amp;$A7&amp;"'!D21")),"")</f>
      </c>
      <c r="R7" s="6">
        <f>IFERROR(IF(INDIRECT("'"&amp;$A7&amp;"'!D22")="","",INDIRECT("'"&amp;$A7&amp;"'!D22")),"")</f>
      </c>
      <c r="S7" s="7">
        <f>IFERROR(IF(INDIRECT("'"&amp;$A7&amp;"'!D24")="","",INDIRECT("'"&amp;$A7&amp;"'!D24")),"")</f>
      </c>
      <c r="T7" s="5">
        <f>IFERROR(IF(INDIRECT("'"&amp;$A7&amp;"'!N58")="","",INDIRECT("'"&amp;$A7&amp;"'!N58")),"")</f>
      </c>
      <c r="U7" s="8">
        <f>IFERROR(IF(INDIRECT("'"&amp;$A7&amp;"'!O58")="","",INDIRECT("'"&amp;$A7&amp;"'!O58")),"")</f>
      </c>
      <c r="V7" s="8">
        <f>IFERROR(IF(INDIRECT("'"&amp;$A7&amp;"'!P58")="","",INDIRECT("'"&amp;$A7&amp;"'!P58")),"")</f>
      </c>
      <c r="W7" s="9">
        <f>IF(N(U7)&gt;0,V7/U7,"")</f>
      </c>
      <c r="X7" s="10">
        <f>IF(N(U7)&gt;0,V7-U7,"")</f>
      </c>
    </row>
    <row r="8" spans="1:24" x14ac:dyDescent="0.25">
      <c r="A8" s="4" t="s">
        <v>29</v>
      </c>
      <c r="B8" s="5">
        <f>IFERROR(IF(INDIRECT("'"&amp;$A8&amp;"'!B3")="","",INDIRECT("'"&amp;$A8&amp;"'!B3")),"")</f>
      </c>
      <c r="C8" s="6">
        <f>IFERROR(IF(INDIRECT("'"&amp;$A8&amp;"'!D7")="","",INDIRECT("'"&amp;$A8&amp;"'!D7")),"")</f>
      </c>
      <c r="D8" s="6">
        <f>IFERROR(IF(INDIRECT("'"&amp;$A8&amp;"'!D8")="","",INDIRECT("'"&amp;$A8&amp;"'!D8")),"")</f>
      </c>
      <c r="E8" s="6">
        <f>IFERROR(IF(INDIRECT("'"&amp;$A8&amp;"'!D9")="","",INDIRECT("'"&amp;$A8&amp;"'!D9")),"")</f>
      </c>
      <c r="F8" s="6">
        <f>IFERROR(IF(INDIRECT("'"&amp;$A8&amp;"'!D10")="","",INDIRECT("'"&amp;$A8&amp;"'!D10")),"")</f>
      </c>
      <c r="G8" s="6">
        <f>IFERROR(IF(INDIRECT("'"&amp;$A8&amp;"'!D11")="","",INDIRECT("'"&amp;$A8&amp;"'!D11")),"")</f>
      </c>
      <c r="H8" s="6">
        <f>IFERROR(IF(INDIRECT("'"&amp;$A8&amp;"'!D12")="","",INDIRECT("'"&amp;$A8&amp;"'!D12")),"")</f>
      </c>
      <c r="I8" s="6">
        <f>IFERROR(IF(INDIRECT("'"&amp;$A8&amp;"'!D13")="","",INDIRECT("'"&amp;$A8&amp;"'!D13")),"")</f>
      </c>
      <c r="J8" s="6">
        <f>IFERROR(IF(INDIRECT("'"&amp;$A8&amp;"'!D14")="","",INDIRECT("'"&amp;$A8&amp;"'!D14")),"")</f>
      </c>
      <c r="K8" s="6">
        <f>IFERROR(IF(INDIRECT("'"&amp;$A8&amp;"'!D15")="","",INDIRECT("'"&amp;$A8&amp;"'!D15")),"")</f>
      </c>
      <c r="L8" s="6">
        <f>IFERROR(IF(INDIRECT("'"&amp;$A8&amp;"'!D16")="","",INDIRECT("'"&amp;$A8&amp;"'!D16")),"")</f>
      </c>
      <c r="M8" s="6">
        <f>IFERROR(IF(INDIRECT("'"&amp;$A8&amp;"'!D17")="","",INDIRECT("'"&amp;$A8&amp;"'!D17")),"")</f>
      </c>
      <c r="N8" s="6">
        <f>IFERROR(IF(INDIRECT("'"&amp;$A8&amp;"'!D18")="","",INDIRECT("'"&amp;$A8&amp;"'!D18")),"")</f>
      </c>
      <c r="O8" s="6">
        <f>IFERROR(IF(INDIRECT("'"&amp;$A8&amp;"'!D19")="","",INDIRECT("'"&amp;$A8&amp;"'!D19")),"")</f>
      </c>
      <c r="P8" s="6">
        <f>IFERROR(IF(INDIRECT("'"&amp;$A8&amp;"'!D20")="","",INDIRECT("'"&amp;$A8&amp;"'!D20")),"")</f>
      </c>
      <c r="Q8" s="6">
        <f>IFERROR(IF(INDIRECT("'"&amp;$A8&amp;"'!D21")="","",INDIRECT("'"&amp;$A8&amp;"'!D21")),"")</f>
      </c>
      <c r="R8" s="6">
        <f>IFERROR(IF(INDIRECT("'"&amp;$A8&amp;"'!D22")="","",INDIRECT("'"&amp;$A8&amp;"'!D22")),"")</f>
      </c>
      <c r="S8" s="7">
        <f>IFERROR(IF(INDIRECT("'"&amp;$A8&amp;"'!D24")="","",INDIRECT("'"&amp;$A8&amp;"'!D24")),"")</f>
      </c>
      <c r="T8" s="5">
        <f>IFERROR(IF(INDIRECT("'"&amp;$A8&amp;"'!N58")="","",INDIRECT("'"&amp;$A8&amp;"'!N58")),"")</f>
      </c>
      <c r="U8" s="8">
        <f>IFERROR(IF(INDIRECT("'"&amp;$A8&amp;"'!O58")="","",INDIRECT("'"&amp;$A8&amp;"'!O58")),"")</f>
      </c>
      <c r="V8" s="8">
        <f>IFERROR(IF(INDIRECT("'"&amp;$A8&amp;"'!P58")="","",INDIRECT("'"&amp;$A8&amp;"'!P58")),"")</f>
      </c>
      <c r="W8" s="9">
        <f>IF(N(U8)&gt;0,V8/U8,"")</f>
      </c>
      <c r="X8" s="10">
        <f>IF(N(U8)&gt;0,V8-U8,"")</f>
      </c>
    </row>
    <row r="9" spans="1:24" x14ac:dyDescent="0.25">
      <c r="A9" s="4" t="s">
        <v>30</v>
      </c>
      <c r="B9" s="5">
        <f>IFERROR(IF(INDIRECT("'"&amp;$A9&amp;"'!B3")="","",INDIRECT("'"&amp;$A9&amp;"'!B3")),"")</f>
      </c>
      <c r="C9" s="6">
        <f>IFERROR(IF(INDIRECT("'"&amp;$A9&amp;"'!D7")="","",INDIRECT("'"&amp;$A9&amp;"'!D7")),"")</f>
      </c>
      <c r="D9" s="6">
        <f>IFERROR(IF(INDIRECT("'"&amp;$A9&amp;"'!D8")="","",INDIRECT("'"&amp;$A9&amp;"'!D8")),"")</f>
      </c>
      <c r="E9" s="6">
        <f>IFERROR(IF(INDIRECT("'"&amp;$A9&amp;"'!D9")="","",INDIRECT("'"&amp;$A9&amp;"'!D9")),"")</f>
      </c>
      <c r="F9" s="6">
        <f>IFERROR(IF(INDIRECT("'"&amp;$A9&amp;"'!D10")="","",INDIRECT("'"&amp;$A9&amp;"'!D10")),"")</f>
      </c>
      <c r="G9" s="6">
        <f>IFERROR(IF(INDIRECT("'"&amp;$A9&amp;"'!D11")="","",INDIRECT("'"&amp;$A9&amp;"'!D11")),"")</f>
      </c>
      <c r="H9" s="6">
        <f>IFERROR(IF(INDIRECT("'"&amp;$A9&amp;"'!D12")="","",INDIRECT("'"&amp;$A9&amp;"'!D12")),"")</f>
      </c>
      <c r="I9" s="6">
        <f>IFERROR(IF(INDIRECT("'"&amp;$A9&amp;"'!D13")="","",INDIRECT("'"&amp;$A9&amp;"'!D13")),"")</f>
      </c>
      <c r="J9" s="6">
        <f>IFERROR(IF(INDIRECT("'"&amp;$A9&amp;"'!D14")="","",INDIRECT("'"&amp;$A9&amp;"'!D14")),"")</f>
      </c>
      <c r="K9" s="6">
        <f>IFERROR(IF(INDIRECT("'"&amp;$A9&amp;"'!D15")="","",INDIRECT("'"&amp;$A9&amp;"'!D15")),"")</f>
      </c>
      <c r="L9" s="6">
        <f>IFERROR(IF(INDIRECT("'"&amp;$A9&amp;"'!D16")="","",INDIRECT("'"&amp;$A9&amp;"'!D16")),"")</f>
      </c>
      <c r="M9" s="6">
        <f>IFERROR(IF(INDIRECT("'"&amp;$A9&amp;"'!D17")="","",INDIRECT("'"&amp;$A9&amp;"'!D17")),"")</f>
      </c>
      <c r="N9" s="6">
        <f>IFERROR(IF(INDIRECT("'"&amp;$A9&amp;"'!D18")="","",INDIRECT("'"&amp;$A9&amp;"'!D18")),"")</f>
      </c>
      <c r="O9" s="6">
        <f>IFERROR(IF(INDIRECT("'"&amp;$A9&amp;"'!D19")="","",INDIRECT("'"&amp;$A9&amp;"'!D19")),"")</f>
      </c>
      <c r="P9" s="6">
        <f>IFERROR(IF(INDIRECT("'"&amp;$A9&amp;"'!D20")="","",INDIRECT("'"&amp;$A9&amp;"'!D20")),"")</f>
      </c>
      <c r="Q9" s="6">
        <f>IFERROR(IF(INDIRECT("'"&amp;$A9&amp;"'!D21")="","",INDIRECT("'"&amp;$A9&amp;"'!D21")),"")</f>
      </c>
      <c r="R9" s="6">
        <f>IFERROR(IF(INDIRECT("'"&amp;$A9&amp;"'!D22")="","",INDIRECT("'"&amp;$A9&amp;"'!D22")),"")</f>
      </c>
      <c r="S9" s="7">
        <f>IFERROR(IF(INDIRECT("'"&amp;$A9&amp;"'!D24")="","",INDIRECT("'"&amp;$A9&amp;"'!D24")),"")</f>
      </c>
      <c r="T9" s="5">
        <f>IFERROR(IF(INDIRECT("'"&amp;$A9&amp;"'!N58")="","",INDIRECT("'"&amp;$A9&amp;"'!N58")),"")</f>
      </c>
      <c r="U9" s="8">
        <f>IFERROR(IF(INDIRECT("'"&amp;$A9&amp;"'!O58")="","",INDIRECT("'"&amp;$A9&amp;"'!O58")),"")</f>
      </c>
      <c r="V9" s="8">
        <f>IFERROR(IF(INDIRECT("'"&amp;$A9&amp;"'!P58")="","",INDIRECT("'"&amp;$A9&amp;"'!P58")),"")</f>
      </c>
      <c r="W9" s="9">
        <f>IF(N(U9)&gt;0,V9/U9,"")</f>
      </c>
      <c r="X9" s="10">
        <f>IF(N(U9)&gt;0,V9-U9,"")</f>
      </c>
    </row>
    <row r="10" spans="1:24" x14ac:dyDescent="0.25">
      <c r="A10" s="4"/>
      <c r="B10" s="5">
        <f>IFERROR(IF(INDIRECT("'"&amp;$A10&amp;"'!B3")="","",INDIRECT("'"&amp;$A10&amp;"'!B3")),"")</f>
      </c>
      <c r="C10" s="6">
        <f>IFERROR(IF(INDIRECT("'"&amp;$A10&amp;"'!D7")="","",INDIRECT("'"&amp;$A10&amp;"'!D7")),"")</f>
      </c>
      <c r="D10" s="6">
        <f>IFERROR(IF(INDIRECT("'"&amp;$A10&amp;"'!D8")="","",INDIRECT("'"&amp;$A10&amp;"'!D8")),"")</f>
      </c>
      <c r="E10" s="6">
        <f>IFERROR(IF(INDIRECT("'"&amp;$A10&amp;"'!D9")="","",INDIRECT("'"&amp;$A10&amp;"'!D9")),"")</f>
      </c>
      <c r="F10" s="6">
        <f>IFERROR(IF(INDIRECT("'"&amp;$A10&amp;"'!D10")="","",INDIRECT("'"&amp;$A10&amp;"'!D10")),"")</f>
      </c>
      <c r="G10" s="6">
        <f>IFERROR(IF(INDIRECT("'"&amp;$A10&amp;"'!D11")="","",INDIRECT("'"&amp;$A10&amp;"'!D11")),"")</f>
      </c>
      <c r="H10" s="6">
        <f>IFERROR(IF(INDIRECT("'"&amp;$A10&amp;"'!D12")="","",INDIRECT("'"&amp;$A10&amp;"'!D12")),"")</f>
      </c>
      <c r="I10" s="6">
        <f>IFERROR(IF(INDIRECT("'"&amp;$A10&amp;"'!D13")="","",INDIRECT("'"&amp;$A10&amp;"'!D13")),"")</f>
      </c>
      <c r="J10" s="6">
        <f>IFERROR(IF(INDIRECT("'"&amp;$A10&amp;"'!D14")="","",INDIRECT("'"&amp;$A10&amp;"'!D14")),"")</f>
      </c>
      <c r="K10" s="6">
        <f>IFERROR(IF(INDIRECT("'"&amp;$A10&amp;"'!D15")="","",INDIRECT("'"&amp;$A10&amp;"'!D15")),"")</f>
      </c>
      <c r="L10" s="6">
        <f>IFERROR(IF(INDIRECT("'"&amp;$A10&amp;"'!D16")="","",INDIRECT("'"&amp;$A10&amp;"'!D16")),"")</f>
      </c>
      <c r="M10" s="6">
        <f>IFERROR(IF(INDIRECT("'"&amp;$A10&amp;"'!D17")="","",INDIRECT("'"&amp;$A10&amp;"'!D17")),"")</f>
      </c>
      <c r="N10" s="6">
        <f>IFERROR(IF(INDIRECT("'"&amp;$A10&amp;"'!D18")="","",INDIRECT("'"&amp;$A10&amp;"'!D18")),"")</f>
      </c>
      <c r="O10" s="6">
        <f>IFERROR(IF(INDIRECT("'"&amp;$A10&amp;"'!D19")="","",INDIRECT("'"&amp;$A10&amp;"'!D19")),"")</f>
      </c>
      <c r="P10" s="6">
        <f>IFERROR(IF(INDIRECT("'"&amp;$A10&amp;"'!D20")="","",INDIRECT("'"&amp;$A10&amp;"'!D20")),"")</f>
      </c>
      <c r="Q10" s="6">
        <f>IFERROR(IF(INDIRECT("'"&amp;$A10&amp;"'!D21")="","",INDIRECT("'"&amp;$A10&amp;"'!D21")),"")</f>
      </c>
      <c r="R10" s="6">
        <f>IFERROR(IF(INDIRECT("'"&amp;$A10&amp;"'!D22")="","",INDIRECT("'"&amp;$A10&amp;"'!D22")),"")</f>
      </c>
      <c r="S10" s="7">
        <f>IFERROR(IF(INDIRECT("'"&amp;$A10&amp;"'!D24")="","",INDIRECT("'"&amp;$A10&amp;"'!D24")),"")</f>
      </c>
      <c r="T10" s="5">
        <f>IFERROR(IF(INDIRECT("'"&amp;$A10&amp;"'!N58")="","",INDIRECT("'"&amp;$A10&amp;"'!N58")),"")</f>
      </c>
      <c r="U10" s="8">
        <f>IFERROR(IF(INDIRECT("'"&amp;$A10&amp;"'!O58")="","",INDIRECT("'"&amp;$A10&amp;"'!O58")),"")</f>
      </c>
      <c r="V10" s="8">
        <f>IFERROR(IF(INDIRECT("'"&amp;$A10&amp;"'!P58")="","",INDIRECT("'"&amp;$A10&amp;"'!P58")),"")</f>
      </c>
      <c r="W10" s="9">
        <f>IF(N(U10)&gt;0,V10/U10,"")</f>
      </c>
      <c r="X10" s="10">
        <f>IF(N(U10)&gt;0,V10-U10,"")</f>
      </c>
    </row>
    <row r="11" spans="1:24" x14ac:dyDescent="0.25">
      <c r="A11" s="4"/>
      <c r="B11" s="5">
        <f>IFERROR(IF(INDIRECT("'"&amp;$A11&amp;"'!B3")="","",INDIRECT("'"&amp;$A11&amp;"'!B3")),"")</f>
      </c>
      <c r="C11" s="6">
        <f>IFERROR(IF(INDIRECT("'"&amp;$A11&amp;"'!D7")="","",INDIRECT("'"&amp;$A11&amp;"'!D7")),"")</f>
      </c>
      <c r="D11" s="6">
        <f>IFERROR(IF(INDIRECT("'"&amp;$A11&amp;"'!D8")="","",INDIRECT("'"&amp;$A11&amp;"'!D8")),"")</f>
      </c>
      <c r="E11" s="6">
        <f>IFERROR(IF(INDIRECT("'"&amp;$A11&amp;"'!D9")="","",INDIRECT("'"&amp;$A11&amp;"'!D9")),"")</f>
      </c>
      <c r="F11" s="6">
        <f>IFERROR(IF(INDIRECT("'"&amp;$A11&amp;"'!D10")="","",INDIRECT("'"&amp;$A11&amp;"'!D10")),"")</f>
      </c>
      <c r="G11" s="6">
        <f>IFERROR(IF(INDIRECT("'"&amp;$A11&amp;"'!D11")="","",INDIRECT("'"&amp;$A11&amp;"'!D11")),"")</f>
      </c>
      <c r="H11" s="6">
        <f>IFERROR(IF(INDIRECT("'"&amp;$A11&amp;"'!D12")="","",INDIRECT("'"&amp;$A11&amp;"'!D12")),"")</f>
      </c>
      <c r="I11" s="6">
        <f>IFERROR(IF(INDIRECT("'"&amp;$A11&amp;"'!D13")="","",INDIRECT("'"&amp;$A11&amp;"'!D13")),"")</f>
      </c>
      <c r="J11" s="6">
        <f>IFERROR(IF(INDIRECT("'"&amp;$A11&amp;"'!D14")="","",INDIRECT("'"&amp;$A11&amp;"'!D14")),"")</f>
      </c>
      <c r="K11" s="6">
        <f>IFERROR(IF(INDIRECT("'"&amp;$A11&amp;"'!D15")="","",INDIRECT("'"&amp;$A11&amp;"'!D15")),"")</f>
      </c>
      <c r="L11" s="6">
        <f>IFERROR(IF(INDIRECT("'"&amp;$A11&amp;"'!D16")="","",INDIRECT("'"&amp;$A11&amp;"'!D16")),"")</f>
      </c>
      <c r="M11" s="6">
        <f>IFERROR(IF(INDIRECT("'"&amp;$A11&amp;"'!D17")="","",INDIRECT("'"&amp;$A11&amp;"'!D17")),"")</f>
      </c>
      <c r="N11" s="6">
        <f>IFERROR(IF(INDIRECT("'"&amp;$A11&amp;"'!D18")="","",INDIRECT("'"&amp;$A11&amp;"'!D18")),"")</f>
      </c>
      <c r="O11" s="6">
        <f>IFERROR(IF(INDIRECT("'"&amp;$A11&amp;"'!D19")="","",INDIRECT("'"&amp;$A11&amp;"'!D19")),"")</f>
      </c>
      <c r="P11" s="6">
        <f>IFERROR(IF(INDIRECT("'"&amp;$A11&amp;"'!D20")="","",INDIRECT("'"&amp;$A11&amp;"'!D20")),"")</f>
      </c>
      <c r="Q11" s="6">
        <f>IFERROR(IF(INDIRECT("'"&amp;$A11&amp;"'!D21")="","",INDIRECT("'"&amp;$A11&amp;"'!D21")),"")</f>
      </c>
      <c r="R11" s="6">
        <f>IFERROR(IF(INDIRECT("'"&amp;$A11&amp;"'!D22")="","",INDIRECT("'"&amp;$A11&amp;"'!D22")),"")</f>
      </c>
      <c r="S11" s="7">
        <f>IFERROR(IF(INDIRECT("'"&amp;$A11&amp;"'!D24")="","",INDIRECT("'"&amp;$A11&amp;"'!D24")),"")</f>
      </c>
      <c r="T11" s="5">
        <f>IFERROR(IF(INDIRECT("'"&amp;$A11&amp;"'!N58")="","",INDIRECT("'"&amp;$A11&amp;"'!N58")),"")</f>
      </c>
      <c r="U11" s="8">
        <f>IFERROR(IF(INDIRECT("'"&amp;$A11&amp;"'!O58")="","",INDIRECT("'"&amp;$A11&amp;"'!O58")),"")</f>
      </c>
      <c r="V11" s="8">
        <f>IFERROR(IF(INDIRECT("'"&amp;$A11&amp;"'!P58")="","",INDIRECT("'"&amp;$A11&amp;"'!P58")),"")</f>
      </c>
      <c r="W11" s="9">
        <f>IF(N(U11)&gt;0,V11/U11,"")</f>
      </c>
      <c r="X11" s="10">
        <f>IF(N(U11)&gt;0,V11-U11,"")</f>
      </c>
    </row>
    <row r="12" spans="1:24" x14ac:dyDescent="0.25">
      <c r="A12" s="4"/>
      <c r="B12" s="5">
        <f>IFERROR(IF(INDIRECT("'"&amp;$A12&amp;"'!B3")="","",INDIRECT("'"&amp;$A12&amp;"'!B3")),"")</f>
      </c>
      <c r="C12" s="6">
        <f>IFERROR(IF(INDIRECT("'"&amp;$A12&amp;"'!D7")="","",INDIRECT("'"&amp;$A12&amp;"'!D7")),"")</f>
      </c>
      <c r="D12" s="6">
        <f>IFERROR(IF(INDIRECT("'"&amp;$A12&amp;"'!D8")="","",INDIRECT("'"&amp;$A12&amp;"'!D8")),"")</f>
      </c>
      <c r="E12" s="6">
        <f>IFERROR(IF(INDIRECT("'"&amp;$A12&amp;"'!D9")="","",INDIRECT("'"&amp;$A12&amp;"'!D9")),"")</f>
      </c>
      <c r="F12" s="6">
        <f>IFERROR(IF(INDIRECT("'"&amp;$A12&amp;"'!D10")="","",INDIRECT("'"&amp;$A12&amp;"'!D10")),"")</f>
      </c>
      <c r="G12" s="6">
        <f>IFERROR(IF(INDIRECT("'"&amp;$A12&amp;"'!D11")="","",INDIRECT("'"&amp;$A12&amp;"'!D11")),"")</f>
      </c>
      <c r="H12" s="6">
        <f>IFERROR(IF(INDIRECT("'"&amp;$A12&amp;"'!D12")="","",INDIRECT("'"&amp;$A12&amp;"'!D12")),"")</f>
      </c>
      <c r="I12" s="6">
        <f>IFERROR(IF(INDIRECT("'"&amp;$A12&amp;"'!D13")="","",INDIRECT("'"&amp;$A12&amp;"'!D13")),"")</f>
      </c>
      <c r="J12" s="6">
        <f>IFERROR(IF(INDIRECT("'"&amp;$A12&amp;"'!D14")="","",INDIRECT("'"&amp;$A12&amp;"'!D14")),"")</f>
      </c>
      <c r="K12" s="6">
        <f>IFERROR(IF(INDIRECT("'"&amp;$A12&amp;"'!D15")="","",INDIRECT("'"&amp;$A12&amp;"'!D15")),"")</f>
      </c>
      <c r="L12" s="6">
        <f>IFERROR(IF(INDIRECT("'"&amp;$A12&amp;"'!D16")="","",INDIRECT("'"&amp;$A12&amp;"'!D16")),"")</f>
      </c>
      <c r="M12" s="6">
        <f>IFERROR(IF(INDIRECT("'"&amp;$A12&amp;"'!D17")="","",INDIRECT("'"&amp;$A12&amp;"'!D17")),"")</f>
      </c>
      <c r="N12" s="6">
        <f>IFERROR(IF(INDIRECT("'"&amp;$A12&amp;"'!D18")="","",INDIRECT("'"&amp;$A12&amp;"'!D18")),"")</f>
      </c>
      <c r="O12" s="6">
        <f>IFERROR(IF(INDIRECT("'"&amp;$A12&amp;"'!D19")="","",INDIRECT("'"&amp;$A12&amp;"'!D19")),"")</f>
      </c>
      <c r="P12" s="6">
        <f>IFERROR(IF(INDIRECT("'"&amp;$A12&amp;"'!D20")="","",INDIRECT("'"&amp;$A12&amp;"'!D20")),"")</f>
      </c>
      <c r="Q12" s="6">
        <f>IFERROR(IF(INDIRECT("'"&amp;$A12&amp;"'!D21")="","",INDIRECT("'"&amp;$A12&amp;"'!D21")),"")</f>
      </c>
      <c r="R12" s="6">
        <f>IFERROR(IF(INDIRECT("'"&amp;$A12&amp;"'!D22")="","",INDIRECT("'"&amp;$A12&amp;"'!D22")),"")</f>
      </c>
      <c r="S12" s="7">
        <f>IFERROR(IF(INDIRECT("'"&amp;$A12&amp;"'!D24")="","",INDIRECT("'"&amp;$A12&amp;"'!D24")),"")</f>
      </c>
      <c r="T12" s="5">
        <f>IFERROR(IF(INDIRECT("'"&amp;$A12&amp;"'!N58")="","",INDIRECT("'"&amp;$A12&amp;"'!N58")),"")</f>
      </c>
      <c r="U12" s="8">
        <f>IFERROR(IF(INDIRECT("'"&amp;$A12&amp;"'!O58")="","",INDIRECT("'"&amp;$A12&amp;"'!O58")),"")</f>
      </c>
      <c r="V12" s="8">
        <f>IFERROR(IF(INDIRECT("'"&amp;$A12&amp;"'!P58")="","",INDIRECT("'"&amp;$A12&amp;"'!P58")),"")</f>
      </c>
      <c r="W12" s="9">
        <f>IF(N(U12)&gt;0,V12/U12,"")</f>
      </c>
      <c r="X12" s="10">
        <f>IF(N(U12)&gt;0,V12-U12,"")</f>
      </c>
    </row>
    <row r="13" spans="1:24" x14ac:dyDescent="0.25">
      <c r="A13" s="4"/>
      <c r="B13" s="5">
        <f>IFERROR(IF(INDIRECT("'"&amp;$A13&amp;"'!B3")="","",INDIRECT("'"&amp;$A13&amp;"'!B3")),"")</f>
      </c>
      <c r="C13" s="6">
        <f>IFERROR(IF(INDIRECT("'"&amp;$A13&amp;"'!D7")="","",INDIRECT("'"&amp;$A13&amp;"'!D7")),"")</f>
      </c>
      <c r="D13" s="6">
        <f>IFERROR(IF(INDIRECT("'"&amp;$A13&amp;"'!D8")="","",INDIRECT("'"&amp;$A13&amp;"'!D8")),"")</f>
      </c>
      <c r="E13" s="6">
        <f>IFERROR(IF(INDIRECT("'"&amp;$A13&amp;"'!D9")="","",INDIRECT("'"&amp;$A13&amp;"'!D9")),"")</f>
      </c>
      <c r="F13" s="6">
        <f>IFERROR(IF(INDIRECT("'"&amp;$A13&amp;"'!D10")="","",INDIRECT("'"&amp;$A13&amp;"'!D10")),"")</f>
      </c>
      <c r="G13" s="6">
        <f>IFERROR(IF(INDIRECT("'"&amp;$A13&amp;"'!D11")="","",INDIRECT("'"&amp;$A13&amp;"'!D11")),"")</f>
      </c>
      <c r="H13" s="6">
        <f>IFERROR(IF(INDIRECT("'"&amp;$A13&amp;"'!D12")="","",INDIRECT("'"&amp;$A13&amp;"'!D12")),"")</f>
      </c>
      <c r="I13" s="6">
        <f>IFERROR(IF(INDIRECT("'"&amp;$A13&amp;"'!D13")="","",INDIRECT("'"&amp;$A13&amp;"'!D13")),"")</f>
      </c>
      <c r="J13" s="6">
        <f>IFERROR(IF(INDIRECT("'"&amp;$A13&amp;"'!D14")="","",INDIRECT("'"&amp;$A13&amp;"'!D14")),"")</f>
      </c>
      <c r="K13" s="6">
        <f>IFERROR(IF(INDIRECT("'"&amp;$A13&amp;"'!D15")="","",INDIRECT("'"&amp;$A13&amp;"'!D15")),"")</f>
      </c>
      <c r="L13" s="6">
        <f>IFERROR(IF(INDIRECT("'"&amp;$A13&amp;"'!D16")="","",INDIRECT("'"&amp;$A13&amp;"'!D16")),"")</f>
      </c>
      <c r="M13" s="6">
        <f>IFERROR(IF(INDIRECT("'"&amp;$A13&amp;"'!D17")="","",INDIRECT("'"&amp;$A13&amp;"'!D17")),"")</f>
      </c>
      <c r="N13" s="6">
        <f>IFERROR(IF(INDIRECT("'"&amp;$A13&amp;"'!D18")="","",INDIRECT("'"&amp;$A13&amp;"'!D18")),"")</f>
      </c>
      <c r="O13" s="6">
        <f>IFERROR(IF(INDIRECT("'"&amp;$A13&amp;"'!D19")="","",INDIRECT("'"&amp;$A13&amp;"'!D19")),"")</f>
      </c>
      <c r="P13" s="6">
        <f>IFERROR(IF(INDIRECT("'"&amp;$A13&amp;"'!D20")="","",INDIRECT("'"&amp;$A13&amp;"'!D20")),"")</f>
      </c>
      <c r="Q13" s="6">
        <f>IFERROR(IF(INDIRECT("'"&amp;$A13&amp;"'!D21")="","",INDIRECT("'"&amp;$A13&amp;"'!D21")),"")</f>
      </c>
      <c r="R13" s="6">
        <f>IFERROR(IF(INDIRECT("'"&amp;$A13&amp;"'!D22")="","",INDIRECT("'"&amp;$A13&amp;"'!D22")),"")</f>
      </c>
      <c r="S13" s="7">
        <f>IFERROR(IF(INDIRECT("'"&amp;$A13&amp;"'!D24")="","",INDIRECT("'"&amp;$A13&amp;"'!D24")),"")</f>
      </c>
      <c r="T13" s="5">
        <f>IFERROR(IF(INDIRECT("'"&amp;$A13&amp;"'!N58")="","",INDIRECT("'"&amp;$A13&amp;"'!N58")),"")</f>
      </c>
      <c r="U13" s="8">
        <f>IFERROR(IF(INDIRECT("'"&amp;$A13&amp;"'!O58")="","",INDIRECT("'"&amp;$A13&amp;"'!O58")),"")</f>
      </c>
      <c r="V13" s="8">
        <f>IFERROR(IF(INDIRECT("'"&amp;$A13&amp;"'!P58")="","",INDIRECT("'"&amp;$A13&amp;"'!P58")),"")</f>
      </c>
      <c r="W13" s="9">
        <f>IF(N(U13)&gt;0,V13/U13,"")</f>
      </c>
      <c r="X13" s="10">
        <f>IF(N(U13)&gt;0,V13-U13,"")</f>
      </c>
    </row>
    <row r="14" spans="1:24" x14ac:dyDescent="0.25">
      <c r="A14" s="4"/>
      <c r="B14" s="5">
        <f>IFERROR(IF(INDIRECT("'"&amp;$A14&amp;"'!B3")="","",INDIRECT("'"&amp;$A14&amp;"'!B3")),"")</f>
      </c>
      <c r="C14" s="6">
        <f>IFERROR(IF(INDIRECT("'"&amp;$A14&amp;"'!D7")="","",INDIRECT("'"&amp;$A14&amp;"'!D7")),"")</f>
      </c>
      <c r="D14" s="6">
        <f>IFERROR(IF(INDIRECT("'"&amp;$A14&amp;"'!D8")="","",INDIRECT("'"&amp;$A14&amp;"'!D8")),"")</f>
      </c>
      <c r="E14" s="6">
        <f>IFERROR(IF(INDIRECT("'"&amp;$A14&amp;"'!D9")="","",INDIRECT("'"&amp;$A14&amp;"'!D9")),"")</f>
      </c>
      <c r="F14" s="6">
        <f>IFERROR(IF(INDIRECT("'"&amp;$A14&amp;"'!D10")="","",INDIRECT("'"&amp;$A14&amp;"'!D10")),"")</f>
      </c>
      <c r="G14" s="6">
        <f>IFERROR(IF(INDIRECT("'"&amp;$A14&amp;"'!D11")="","",INDIRECT("'"&amp;$A14&amp;"'!D11")),"")</f>
      </c>
      <c r="H14" s="6">
        <f>IFERROR(IF(INDIRECT("'"&amp;$A14&amp;"'!D12")="","",INDIRECT("'"&amp;$A14&amp;"'!D12")),"")</f>
      </c>
      <c r="I14" s="6">
        <f>IFERROR(IF(INDIRECT("'"&amp;$A14&amp;"'!D13")="","",INDIRECT("'"&amp;$A14&amp;"'!D13")),"")</f>
      </c>
      <c r="J14" s="6">
        <f>IFERROR(IF(INDIRECT("'"&amp;$A14&amp;"'!D14")="","",INDIRECT("'"&amp;$A14&amp;"'!D14")),"")</f>
      </c>
      <c r="K14" s="6">
        <f>IFERROR(IF(INDIRECT("'"&amp;$A14&amp;"'!D15")="","",INDIRECT("'"&amp;$A14&amp;"'!D15")),"")</f>
      </c>
      <c r="L14" s="6">
        <f>IFERROR(IF(INDIRECT("'"&amp;$A14&amp;"'!D16")="","",INDIRECT("'"&amp;$A14&amp;"'!D16")),"")</f>
      </c>
      <c r="M14" s="6">
        <f>IFERROR(IF(INDIRECT("'"&amp;$A14&amp;"'!D17")="","",INDIRECT("'"&amp;$A14&amp;"'!D17")),"")</f>
      </c>
      <c r="N14" s="6">
        <f>IFERROR(IF(INDIRECT("'"&amp;$A14&amp;"'!D18")="","",INDIRECT("'"&amp;$A14&amp;"'!D18")),"")</f>
      </c>
      <c r="O14" s="6">
        <f>IFERROR(IF(INDIRECT("'"&amp;$A14&amp;"'!D19")="","",INDIRECT("'"&amp;$A14&amp;"'!D19")),"")</f>
      </c>
      <c r="P14" s="6">
        <f>IFERROR(IF(INDIRECT("'"&amp;$A14&amp;"'!D20")="","",INDIRECT("'"&amp;$A14&amp;"'!D20")),"")</f>
      </c>
      <c r="Q14" s="6">
        <f>IFERROR(IF(INDIRECT("'"&amp;$A14&amp;"'!D21")="","",INDIRECT("'"&amp;$A14&amp;"'!D21")),"")</f>
      </c>
      <c r="R14" s="6">
        <f>IFERROR(IF(INDIRECT("'"&amp;$A14&amp;"'!D22")="","",INDIRECT("'"&amp;$A14&amp;"'!D22")),"")</f>
      </c>
      <c r="S14" s="7">
        <f>IFERROR(IF(INDIRECT("'"&amp;$A14&amp;"'!D24")="","",INDIRECT("'"&amp;$A14&amp;"'!D24")),"")</f>
      </c>
      <c r="T14" s="5">
        <f>IFERROR(IF(INDIRECT("'"&amp;$A14&amp;"'!N58")="","",INDIRECT("'"&amp;$A14&amp;"'!N58")),"")</f>
      </c>
      <c r="U14" s="8">
        <f>IFERROR(IF(INDIRECT("'"&amp;$A14&amp;"'!O58")="","",INDIRECT("'"&amp;$A14&amp;"'!O58")),"")</f>
      </c>
      <c r="V14" s="8">
        <f>IFERROR(IF(INDIRECT("'"&amp;$A14&amp;"'!P58")="","",INDIRECT("'"&amp;$A14&amp;"'!P58")),"")</f>
      </c>
      <c r="W14" s="9">
        <f>IF(N(U14)&gt;0,V14/U14,"")</f>
      </c>
      <c r="X14" s="10">
        <f>IF(N(U14)&gt;0,V14-U14,"")</f>
      </c>
    </row>
    <row r="15" spans="1:24" x14ac:dyDescent="0.25">
      <c r="A15" s="11"/>
      <c r="B15" s="11" t="s">
        <v>31</v>
      </c>
      <c r="C15" s="12">
        <f>IF(COUNT(C5:C14)=0,"",ROUND(AVERAGE(C5:C14),1))</f>
      </c>
      <c r="D15" s="12">
        <f>IF(COUNT(D5:D14)=0,"",ROUND(AVERAGE(D5:D14),1))</f>
      </c>
      <c r="E15" s="12">
        <f>IF(COUNT(E5:E14)=0,"",ROUND(AVERAGE(E5:E14),1))</f>
      </c>
      <c r="F15" s="12">
        <f>IF(COUNT(F5:F14)=0,"",ROUND(AVERAGE(F5:F14),1))</f>
      </c>
      <c r="G15" s="12">
        <f>IF(COUNT(G5:G14)=0,"",ROUND(AVERAGE(G5:G14),1))</f>
      </c>
      <c r="H15" s="12">
        <f>IF(COUNT(H5:H14)=0,"",ROUND(AVERAGE(H5:H14),1))</f>
      </c>
      <c r="I15" s="12">
        <f>IF(COUNT(I5:I14)=0,"",ROUND(AVERAGE(I5:I14),1))</f>
      </c>
      <c r="J15" s="12">
        <f>IF(COUNT(J5:J14)=0,"",ROUND(AVERAGE(J5:J14),1))</f>
      </c>
      <c r="K15" s="12">
        <f>IF(COUNT(K5:K14)=0,"",ROUND(AVERAGE(K5:K14),1))</f>
      </c>
      <c r="L15" s="12">
        <f>IF(COUNT(L5:L14)=0,"",ROUND(AVERAGE(L5:L14),1))</f>
      </c>
      <c r="M15" s="12">
        <f>IF(COUNT(M5:M14)=0,"",ROUND(AVERAGE(M5:M14),1))</f>
      </c>
      <c r="N15" s="12">
        <f>IF(COUNT(N5:N14)=0,"",ROUND(AVERAGE(N5:N14),1))</f>
      </c>
      <c r="O15" s="12">
        <f>IF(COUNT(O5:O14)=0,"",ROUND(AVERAGE(O5:O14),1))</f>
      </c>
      <c r="P15" s="12">
        <f>IF(COUNT(P5:P14)=0,"",ROUND(AVERAGE(P5:P14),1))</f>
      </c>
      <c r="Q15" s="12">
        <f>IF(COUNT(Q5:Q14)=0,"",ROUND(AVERAGE(Q5:Q14),1))</f>
      </c>
      <c r="R15" s="12">
        <f>IF(COUNT(R5:R14)=0,"",ROUND(AVERAGE(R5:R14),1))</f>
      </c>
      <c r="S15" s="12">
        <f>IF(COUNT(S5:S14)=0,"",ROUND(AVERAGE(S5:S14),1))</f>
      </c>
      <c r="T15" s="11">
        <f>SUM(T5:T14)</f>
      </c>
      <c r="U15" s="13">
        <f>SUM(U5:U14)</f>
      </c>
      <c r="V15" s="13">
        <f>SUM(V5:V14)</f>
      </c>
      <c r="W15" s="14">
        <f>IF(U15&gt;0,V15/U15,"")</f>
      </c>
      <c r="X15" s="15">
        <f>V15-U15</f>
      </c>
    </row>
    <row r="17" spans="1:5" x14ac:dyDescent="0.25">
      <c r="A17" s="16" t="s">
        <v>32</v>
      </c>
      <c r="B17" s="16"/>
      <c r="C17" s="16"/>
      <c r="D17" s="16"/>
      <c r="E17" s="17">
        <f>S15</f>
      </c>
    </row>
    <row r="18" spans="1:5" x14ac:dyDescent="0.25">
      <c r="A18" s="16" t="s">
        <v>33</v>
      </c>
      <c r="B18" s="16"/>
      <c r="C18" s="16"/>
      <c r="D18" s="16"/>
      <c r="E18" s="18">
        <f>W15</f>
      </c>
    </row>
    <row r="19" spans="1:5" x14ac:dyDescent="0.25">
      <c r="A19" s="16" t="s">
        <v>34</v>
      </c>
      <c r="B19" s="16"/>
      <c r="C19" s="16"/>
      <c r="D19" s="16"/>
      <c r="E19" s="19">
        <f>MAX(0,-X15)</f>
      </c>
    </row>
    <row r="20" spans="1:5" x14ac:dyDescent="0.25">
      <c r="A20" s="16" t="s">
        <v>35</v>
      </c>
      <c r="B20" s="16"/>
      <c r="C20" s="16"/>
      <c r="D20" s="16"/>
      <c r="E20" s="18">
        <f>IF(N(W15)&gt;0,MAX(0,1-W15),"")</f>
      </c>
    </row>
    <row r="22" spans="1:8" x14ac:dyDescent="0.25">
      <c r="A22" s="20" t="s">
        <v>36</v>
      </c>
      <c r="B22" s="20"/>
      <c r="C22" s="20"/>
      <c r="D22" s="20"/>
      <c r="E22" s="20"/>
      <c r="F22" s="20"/>
      <c r="G22" s="20"/>
      <c r="H22" s="20"/>
    </row>
    <row r="23" spans="1:8" x14ac:dyDescent="0.25">
      <c r="A23" s="21" t="s">
        <v>37</v>
      </c>
      <c r="B23" s="21" t="s">
        <v>38</v>
      </c>
      <c r="C23" s="21" t="s">
        <v>39</v>
      </c>
      <c r="D23" s="21" t="s">
        <v>40</v>
      </c>
      <c r="E23" s="21" t="s">
        <v>22</v>
      </c>
      <c r="F23" s="21" t="s">
        <v>23</v>
      </c>
      <c r="G23" s="21" t="s">
        <v>24</v>
      </c>
      <c r="H23" s="21" t="s">
        <v>25</v>
      </c>
    </row>
    <row r="24" spans="1:8" x14ac:dyDescent="0.25">
      <c r="A24" s="5" t="s">
        <v>41</v>
      </c>
      <c r="B24" s="22" t="s">
        <v>42</v>
      </c>
      <c r="C24" s="8">
        <v>29</v>
      </c>
      <c r="D24" s="5">
        <f>IFERROR(N(INDIRECT("'"&amp;$A$5&amp;"'!N30")),0)+IFERROR(N(INDIRECT("'"&amp;$A$6&amp;"'!N30")),0)+IFERROR(N(INDIRECT("'"&amp;$A$7&amp;"'!N30")),0)+IFERROR(N(INDIRECT("'"&amp;$A$8&amp;"'!N30")),0)+IFERROR(N(INDIRECT("'"&amp;$A$9&amp;"'!N30")),0)+IFERROR(N(INDIRECT("'"&amp;$A$10&amp;"'!N30")),0)+IFERROR(N(INDIRECT("'"&amp;$A$11&amp;"'!N30")),0)+IFERROR(N(INDIRECT("'"&amp;$A$12&amp;"'!N30")),0)+IFERROR(N(INDIRECT("'"&amp;$A$13&amp;"'!N30")),0)+IFERROR(N(INDIRECT("'"&amp;$A$14&amp;"'!N30")),0)</f>
      </c>
      <c r="E24" s="8">
        <f>IFERROR(N(INDIRECT("'"&amp;$A$5&amp;"'!O30")),0)+IFERROR(N(INDIRECT("'"&amp;$A$6&amp;"'!O30")),0)+IFERROR(N(INDIRECT("'"&amp;$A$7&amp;"'!O30")),0)+IFERROR(N(INDIRECT("'"&amp;$A$8&amp;"'!O30")),0)+IFERROR(N(INDIRECT("'"&amp;$A$9&amp;"'!O30")),0)+IFERROR(N(INDIRECT("'"&amp;$A$10&amp;"'!O30")),0)+IFERROR(N(INDIRECT("'"&amp;$A$11&amp;"'!O30")),0)+IFERROR(N(INDIRECT("'"&amp;$A$12&amp;"'!O30")),0)+IFERROR(N(INDIRECT("'"&amp;$A$13&amp;"'!O30")),0)+IFERROR(N(INDIRECT("'"&amp;$A$14&amp;"'!O30")),0)</f>
      </c>
      <c r="F24" s="8">
        <f>IFERROR(N(INDIRECT("'"&amp;$A$5&amp;"'!P30")),0)+IFERROR(N(INDIRECT("'"&amp;$A$6&amp;"'!P30")),0)+IFERROR(N(INDIRECT("'"&amp;$A$7&amp;"'!P30")),0)+IFERROR(N(INDIRECT("'"&amp;$A$8&amp;"'!P30")),0)+IFERROR(N(INDIRECT("'"&amp;$A$9&amp;"'!P30")),0)+IFERROR(N(INDIRECT("'"&amp;$A$10&amp;"'!P30")),0)+IFERROR(N(INDIRECT("'"&amp;$A$11&amp;"'!P30")),0)+IFERROR(N(INDIRECT("'"&amp;$A$12&amp;"'!P30")),0)+IFERROR(N(INDIRECT("'"&amp;$A$13&amp;"'!P30")),0)+IFERROR(N(INDIRECT("'"&amp;$A$14&amp;"'!P30")),0)</f>
      </c>
      <c r="G24" s="9">
        <f>IF(E24&gt;0,F24/E24,"")</f>
      </c>
      <c r="H24" s="10">
        <f>IF(D24&gt;0,F24-E24,"")</f>
      </c>
    </row>
    <row r="25" spans="1:8" x14ac:dyDescent="0.25">
      <c r="A25" s="5" t="s">
        <v>41</v>
      </c>
      <c r="B25" s="22" t="s">
        <v>43</v>
      </c>
      <c r="C25" s="8">
        <v>379</v>
      </c>
      <c r="D25" s="5">
        <f>IFERROR(N(INDIRECT("'"&amp;$A$5&amp;"'!N31")),0)+IFERROR(N(INDIRECT("'"&amp;$A$6&amp;"'!N31")),0)+IFERROR(N(INDIRECT("'"&amp;$A$7&amp;"'!N31")),0)+IFERROR(N(INDIRECT("'"&amp;$A$8&amp;"'!N31")),0)+IFERROR(N(INDIRECT("'"&amp;$A$9&amp;"'!N31")),0)+IFERROR(N(INDIRECT("'"&amp;$A$10&amp;"'!N31")),0)+IFERROR(N(INDIRECT("'"&amp;$A$11&amp;"'!N31")),0)+IFERROR(N(INDIRECT("'"&amp;$A$12&amp;"'!N31")),0)+IFERROR(N(INDIRECT("'"&amp;$A$13&amp;"'!N31")),0)+IFERROR(N(INDIRECT("'"&amp;$A$14&amp;"'!N31")),0)</f>
      </c>
      <c r="E25" s="8">
        <f>IFERROR(N(INDIRECT("'"&amp;$A$5&amp;"'!O31")),0)+IFERROR(N(INDIRECT("'"&amp;$A$6&amp;"'!O31")),0)+IFERROR(N(INDIRECT("'"&amp;$A$7&amp;"'!O31")),0)+IFERROR(N(INDIRECT("'"&amp;$A$8&amp;"'!O31")),0)+IFERROR(N(INDIRECT("'"&amp;$A$9&amp;"'!O31")),0)+IFERROR(N(INDIRECT("'"&amp;$A$10&amp;"'!O31")),0)+IFERROR(N(INDIRECT("'"&amp;$A$11&amp;"'!O31")),0)+IFERROR(N(INDIRECT("'"&amp;$A$12&amp;"'!O31")),0)+IFERROR(N(INDIRECT("'"&amp;$A$13&amp;"'!O31")),0)+IFERROR(N(INDIRECT("'"&amp;$A$14&amp;"'!O31")),0)</f>
      </c>
      <c r="F25" s="8">
        <f>IFERROR(N(INDIRECT("'"&amp;$A$5&amp;"'!P31")),0)+IFERROR(N(INDIRECT("'"&amp;$A$6&amp;"'!P31")),0)+IFERROR(N(INDIRECT("'"&amp;$A$7&amp;"'!P31")),0)+IFERROR(N(INDIRECT("'"&amp;$A$8&amp;"'!P31")),0)+IFERROR(N(INDIRECT("'"&amp;$A$9&amp;"'!P31")),0)+IFERROR(N(INDIRECT("'"&amp;$A$10&amp;"'!P31")),0)+IFERROR(N(INDIRECT("'"&amp;$A$11&amp;"'!P31")),0)+IFERROR(N(INDIRECT("'"&amp;$A$12&amp;"'!P31")),0)+IFERROR(N(INDIRECT("'"&amp;$A$13&amp;"'!P31")),0)+IFERROR(N(INDIRECT("'"&amp;$A$14&amp;"'!P31")),0)</f>
      </c>
      <c r="G25" s="9">
        <f>IF(E25&gt;0,F25/E25,"")</f>
      </c>
      <c r="H25" s="10">
        <f>IF(D25&gt;0,F25-E25,"")</f>
      </c>
    </row>
    <row r="26" spans="1:8" x14ac:dyDescent="0.25">
      <c r="A26" s="5" t="s">
        <v>41</v>
      </c>
      <c r="B26" s="22" t="s">
        <v>44</v>
      </c>
      <c r="C26" s="8">
        <v>819</v>
      </c>
      <c r="D26" s="5">
        <f>IFERROR(N(INDIRECT("'"&amp;$A$5&amp;"'!N32")),0)+IFERROR(N(INDIRECT("'"&amp;$A$6&amp;"'!N32")),0)+IFERROR(N(INDIRECT("'"&amp;$A$7&amp;"'!N32")),0)+IFERROR(N(INDIRECT("'"&amp;$A$8&amp;"'!N32")),0)+IFERROR(N(INDIRECT("'"&amp;$A$9&amp;"'!N32")),0)+IFERROR(N(INDIRECT("'"&amp;$A$10&amp;"'!N32")),0)+IFERROR(N(INDIRECT("'"&amp;$A$11&amp;"'!N32")),0)+IFERROR(N(INDIRECT("'"&amp;$A$12&amp;"'!N32")),0)+IFERROR(N(INDIRECT("'"&amp;$A$13&amp;"'!N32")),0)+IFERROR(N(INDIRECT("'"&amp;$A$14&amp;"'!N32")),0)</f>
      </c>
      <c r="E26" s="8">
        <f>IFERROR(N(INDIRECT("'"&amp;$A$5&amp;"'!O32")),0)+IFERROR(N(INDIRECT("'"&amp;$A$6&amp;"'!O32")),0)+IFERROR(N(INDIRECT("'"&amp;$A$7&amp;"'!O32")),0)+IFERROR(N(INDIRECT("'"&amp;$A$8&amp;"'!O32")),0)+IFERROR(N(INDIRECT("'"&amp;$A$9&amp;"'!O32")),0)+IFERROR(N(INDIRECT("'"&amp;$A$10&amp;"'!O32")),0)+IFERROR(N(INDIRECT("'"&amp;$A$11&amp;"'!O32")),0)+IFERROR(N(INDIRECT("'"&amp;$A$12&amp;"'!O32")),0)+IFERROR(N(INDIRECT("'"&amp;$A$13&amp;"'!O32")),0)+IFERROR(N(INDIRECT("'"&amp;$A$14&amp;"'!O32")),0)</f>
      </c>
      <c r="F26" s="8">
        <f>IFERROR(N(INDIRECT("'"&amp;$A$5&amp;"'!P32")),0)+IFERROR(N(INDIRECT("'"&amp;$A$6&amp;"'!P32")),0)+IFERROR(N(INDIRECT("'"&amp;$A$7&amp;"'!P32")),0)+IFERROR(N(INDIRECT("'"&amp;$A$8&amp;"'!P32")),0)+IFERROR(N(INDIRECT("'"&amp;$A$9&amp;"'!P32")),0)+IFERROR(N(INDIRECT("'"&amp;$A$10&amp;"'!P32")),0)+IFERROR(N(INDIRECT("'"&amp;$A$11&amp;"'!P32")),0)+IFERROR(N(INDIRECT("'"&amp;$A$12&amp;"'!P32")),0)+IFERROR(N(INDIRECT("'"&amp;$A$13&amp;"'!P32")),0)+IFERROR(N(INDIRECT("'"&amp;$A$14&amp;"'!P32")),0)</f>
      </c>
      <c r="G26" s="9">
        <f>IF(E26&gt;0,F26/E26,"")</f>
      </c>
      <c r="H26" s="10">
        <f>IF(D26&gt;0,F26-E26,"")</f>
      </c>
    </row>
    <row r="27" spans="1:8" x14ac:dyDescent="0.25">
      <c r="A27" s="5" t="s">
        <v>41</v>
      </c>
      <c r="B27" s="22" t="s">
        <v>45</v>
      </c>
      <c r="C27" s="8">
        <v>169</v>
      </c>
      <c r="D27" s="5">
        <f>IFERROR(N(INDIRECT("'"&amp;$A$5&amp;"'!N33")),0)+IFERROR(N(INDIRECT("'"&amp;$A$6&amp;"'!N33")),0)+IFERROR(N(INDIRECT("'"&amp;$A$7&amp;"'!N33")),0)+IFERROR(N(INDIRECT("'"&amp;$A$8&amp;"'!N33")),0)+IFERROR(N(INDIRECT("'"&amp;$A$9&amp;"'!N33")),0)+IFERROR(N(INDIRECT("'"&amp;$A$10&amp;"'!N33")),0)+IFERROR(N(INDIRECT("'"&amp;$A$11&amp;"'!N33")),0)+IFERROR(N(INDIRECT("'"&amp;$A$12&amp;"'!N33")),0)+IFERROR(N(INDIRECT("'"&amp;$A$13&amp;"'!N33")),0)+IFERROR(N(INDIRECT("'"&amp;$A$14&amp;"'!N33")),0)</f>
      </c>
      <c r="E27" s="8">
        <f>IFERROR(N(INDIRECT("'"&amp;$A$5&amp;"'!O33")),0)+IFERROR(N(INDIRECT("'"&amp;$A$6&amp;"'!O33")),0)+IFERROR(N(INDIRECT("'"&amp;$A$7&amp;"'!O33")),0)+IFERROR(N(INDIRECT("'"&amp;$A$8&amp;"'!O33")),0)+IFERROR(N(INDIRECT("'"&amp;$A$9&amp;"'!O33")),0)+IFERROR(N(INDIRECT("'"&amp;$A$10&amp;"'!O33")),0)+IFERROR(N(INDIRECT("'"&amp;$A$11&amp;"'!O33")),0)+IFERROR(N(INDIRECT("'"&amp;$A$12&amp;"'!O33")),0)+IFERROR(N(INDIRECT("'"&amp;$A$13&amp;"'!O33")),0)+IFERROR(N(INDIRECT("'"&amp;$A$14&amp;"'!O33")),0)</f>
      </c>
      <c r="F27" s="8">
        <f>IFERROR(N(INDIRECT("'"&amp;$A$5&amp;"'!P33")),0)+IFERROR(N(INDIRECT("'"&amp;$A$6&amp;"'!P33")),0)+IFERROR(N(INDIRECT("'"&amp;$A$7&amp;"'!P33")),0)+IFERROR(N(INDIRECT("'"&amp;$A$8&amp;"'!P33")),0)+IFERROR(N(INDIRECT("'"&amp;$A$9&amp;"'!P33")),0)+IFERROR(N(INDIRECT("'"&amp;$A$10&amp;"'!P33")),0)+IFERROR(N(INDIRECT("'"&amp;$A$11&amp;"'!P33")),0)+IFERROR(N(INDIRECT("'"&amp;$A$12&amp;"'!P33")),0)+IFERROR(N(INDIRECT("'"&amp;$A$13&amp;"'!P33")),0)+IFERROR(N(INDIRECT("'"&amp;$A$14&amp;"'!P33")),0)</f>
      </c>
      <c r="G27" s="9">
        <f>IF(E27&gt;0,F27/E27,"")</f>
      </c>
      <c r="H27" s="10">
        <f>IF(D27&gt;0,F27-E27,"")</f>
      </c>
    </row>
    <row r="28" spans="1:8" x14ac:dyDescent="0.25">
      <c r="A28" s="5" t="s">
        <v>41</v>
      </c>
      <c r="B28" s="22" t="s">
        <v>46</v>
      </c>
      <c r="C28" s="8">
        <v>59</v>
      </c>
      <c r="D28" s="5">
        <f>IFERROR(N(INDIRECT("'"&amp;$A$5&amp;"'!N34")),0)+IFERROR(N(INDIRECT("'"&amp;$A$6&amp;"'!N34")),0)+IFERROR(N(INDIRECT("'"&amp;$A$7&amp;"'!N34")),0)+IFERROR(N(INDIRECT("'"&amp;$A$8&amp;"'!N34")),0)+IFERROR(N(INDIRECT("'"&amp;$A$9&amp;"'!N34")),0)+IFERROR(N(INDIRECT("'"&amp;$A$10&amp;"'!N34")),0)+IFERROR(N(INDIRECT("'"&amp;$A$11&amp;"'!N34")),0)+IFERROR(N(INDIRECT("'"&amp;$A$12&amp;"'!N34")),0)+IFERROR(N(INDIRECT("'"&amp;$A$13&amp;"'!N34")),0)+IFERROR(N(INDIRECT("'"&amp;$A$14&amp;"'!N34")),0)</f>
      </c>
      <c r="E28" s="8">
        <f>IFERROR(N(INDIRECT("'"&amp;$A$5&amp;"'!O34")),0)+IFERROR(N(INDIRECT("'"&amp;$A$6&amp;"'!O34")),0)+IFERROR(N(INDIRECT("'"&amp;$A$7&amp;"'!O34")),0)+IFERROR(N(INDIRECT("'"&amp;$A$8&amp;"'!O34")),0)+IFERROR(N(INDIRECT("'"&amp;$A$9&amp;"'!O34")),0)+IFERROR(N(INDIRECT("'"&amp;$A$10&amp;"'!O34")),0)+IFERROR(N(INDIRECT("'"&amp;$A$11&amp;"'!O34")),0)+IFERROR(N(INDIRECT("'"&amp;$A$12&amp;"'!O34")),0)+IFERROR(N(INDIRECT("'"&amp;$A$13&amp;"'!O34")),0)+IFERROR(N(INDIRECT("'"&amp;$A$14&amp;"'!O34")),0)</f>
      </c>
      <c r="F28" s="8">
        <f>IFERROR(N(INDIRECT("'"&amp;$A$5&amp;"'!P34")),0)+IFERROR(N(INDIRECT("'"&amp;$A$6&amp;"'!P34")),0)+IFERROR(N(INDIRECT("'"&amp;$A$7&amp;"'!P34")),0)+IFERROR(N(INDIRECT("'"&amp;$A$8&amp;"'!P34")),0)+IFERROR(N(INDIRECT("'"&amp;$A$9&amp;"'!P34")),0)+IFERROR(N(INDIRECT("'"&amp;$A$10&amp;"'!P34")),0)+IFERROR(N(INDIRECT("'"&amp;$A$11&amp;"'!P34")),0)+IFERROR(N(INDIRECT("'"&amp;$A$12&amp;"'!P34")),0)+IFERROR(N(INDIRECT("'"&amp;$A$13&amp;"'!P34")),0)+IFERROR(N(INDIRECT("'"&amp;$A$14&amp;"'!P34")),0)</f>
      </c>
      <c r="G28" s="9">
        <f>IF(E28&gt;0,F28/E28,"")</f>
      </c>
      <c r="H28" s="10">
        <f>IF(D28&gt;0,F28-E28,"")</f>
      </c>
    </row>
    <row r="29" spans="1:8" x14ac:dyDescent="0.25">
      <c r="A29" s="5" t="s">
        <v>41</v>
      </c>
      <c r="B29" s="22" t="s">
        <v>47</v>
      </c>
      <c r="C29" s="8">
        <v>199</v>
      </c>
      <c r="D29" s="5">
        <f>IFERROR(N(INDIRECT("'"&amp;$A$5&amp;"'!N35")),0)+IFERROR(N(INDIRECT("'"&amp;$A$6&amp;"'!N35")),0)+IFERROR(N(INDIRECT("'"&amp;$A$7&amp;"'!N35")),0)+IFERROR(N(INDIRECT("'"&amp;$A$8&amp;"'!N35")),0)+IFERROR(N(INDIRECT("'"&amp;$A$9&amp;"'!N35")),0)+IFERROR(N(INDIRECT("'"&amp;$A$10&amp;"'!N35")),0)+IFERROR(N(INDIRECT("'"&amp;$A$11&amp;"'!N35")),0)+IFERROR(N(INDIRECT("'"&amp;$A$12&amp;"'!N35")),0)+IFERROR(N(INDIRECT("'"&amp;$A$13&amp;"'!N35")),0)+IFERROR(N(INDIRECT("'"&amp;$A$14&amp;"'!N35")),0)</f>
      </c>
      <c r="E29" s="8">
        <f>IFERROR(N(INDIRECT("'"&amp;$A$5&amp;"'!O35")),0)+IFERROR(N(INDIRECT("'"&amp;$A$6&amp;"'!O35")),0)+IFERROR(N(INDIRECT("'"&amp;$A$7&amp;"'!O35")),0)+IFERROR(N(INDIRECT("'"&amp;$A$8&amp;"'!O35")),0)+IFERROR(N(INDIRECT("'"&amp;$A$9&amp;"'!O35")),0)+IFERROR(N(INDIRECT("'"&amp;$A$10&amp;"'!O35")),0)+IFERROR(N(INDIRECT("'"&amp;$A$11&amp;"'!O35")),0)+IFERROR(N(INDIRECT("'"&amp;$A$12&amp;"'!O35")),0)+IFERROR(N(INDIRECT("'"&amp;$A$13&amp;"'!O35")),0)+IFERROR(N(INDIRECT("'"&amp;$A$14&amp;"'!O35")),0)</f>
      </c>
      <c r="F29" s="8">
        <f>IFERROR(N(INDIRECT("'"&amp;$A$5&amp;"'!P35")),0)+IFERROR(N(INDIRECT("'"&amp;$A$6&amp;"'!P35")),0)+IFERROR(N(INDIRECT("'"&amp;$A$7&amp;"'!P35")),0)+IFERROR(N(INDIRECT("'"&amp;$A$8&amp;"'!P35")),0)+IFERROR(N(INDIRECT("'"&amp;$A$9&amp;"'!P35")),0)+IFERROR(N(INDIRECT("'"&amp;$A$10&amp;"'!P35")),0)+IFERROR(N(INDIRECT("'"&amp;$A$11&amp;"'!P35")),0)+IFERROR(N(INDIRECT("'"&amp;$A$12&amp;"'!P35")),0)+IFERROR(N(INDIRECT("'"&amp;$A$13&amp;"'!P35")),0)+IFERROR(N(INDIRECT("'"&amp;$A$14&amp;"'!P35")),0)</f>
      </c>
      <c r="G29" s="9">
        <f>IF(E29&gt;0,F29/E29,"")</f>
      </c>
      <c r="H29" s="10">
        <f>IF(D29&gt;0,F29-E29,"")</f>
      </c>
    </row>
    <row r="30" spans="1:8" x14ac:dyDescent="0.25">
      <c r="A30" s="5" t="s">
        <v>48</v>
      </c>
      <c r="B30" s="22" t="s">
        <v>49</v>
      </c>
      <c r="C30" s="8">
        <v>169</v>
      </c>
      <c r="D30" s="5">
        <f>IFERROR(N(INDIRECT("'"&amp;$A$5&amp;"'!N36")),0)+IFERROR(N(INDIRECT("'"&amp;$A$6&amp;"'!N36")),0)+IFERROR(N(INDIRECT("'"&amp;$A$7&amp;"'!N36")),0)+IFERROR(N(INDIRECT("'"&amp;$A$8&amp;"'!N36")),0)+IFERROR(N(INDIRECT("'"&amp;$A$9&amp;"'!N36")),0)+IFERROR(N(INDIRECT("'"&amp;$A$10&amp;"'!N36")),0)+IFERROR(N(INDIRECT("'"&amp;$A$11&amp;"'!N36")),0)+IFERROR(N(INDIRECT("'"&amp;$A$12&amp;"'!N36")),0)+IFERROR(N(INDIRECT("'"&amp;$A$13&amp;"'!N36")),0)+IFERROR(N(INDIRECT("'"&amp;$A$14&amp;"'!N36")),0)</f>
      </c>
      <c r="E30" s="8">
        <f>IFERROR(N(INDIRECT("'"&amp;$A$5&amp;"'!O36")),0)+IFERROR(N(INDIRECT("'"&amp;$A$6&amp;"'!O36")),0)+IFERROR(N(INDIRECT("'"&amp;$A$7&amp;"'!O36")),0)+IFERROR(N(INDIRECT("'"&amp;$A$8&amp;"'!O36")),0)+IFERROR(N(INDIRECT("'"&amp;$A$9&amp;"'!O36")),0)+IFERROR(N(INDIRECT("'"&amp;$A$10&amp;"'!O36")),0)+IFERROR(N(INDIRECT("'"&amp;$A$11&amp;"'!O36")),0)+IFERROR(N(INDIRECT("'"&amp;$A$12&amp;"'!O36")),0)+IFERROR(N(INDIRECT("'"&amp;$A$13&amp;"'!O36")),0)+IFERROR(N(INDIRECT("'"&amp;$A$14&amp;"'!O36")),0)</f>
      </c>
      <c r="F30" s="8">
        <f>IFERROR(N(INDIRECT("'"&amp;$A$5&amp;"'!P36")),0)+IFERROR(N(INDIRECT("'"&amp;$A$6&amp;"'!P36")),0)+IFERROR(N(INDIRECT("'"&amp;$A$7&amp;"'!P36")),0)+IFERROR(N(INDIRECT("'"&amp;$A$8&amp;"'!P36")),0)+IFERROR(N(INDIRECT("'"&amp;$A$9&amp;"'!P36")),0)+IFERROR(N(INDIRECT("'"&amp;$A$10&amp;"'!P36")),0)+IFERROR(N(INDIRECT("'"&amp;$A$11&amp;"'!P36")),0)+IFERROR(N(INDIRECT("'"&amp;$A$12&amp;"'!P36")),0)+IFERROR(N(INDIRECT("'"&amp;$A$13&amp;"'!P36")),0)+IFERROR(N(INDIRECT("'"&amp;$A$14&amp;"'!P36")),0)</f>
      </c>
      <c r="G30" s="9">
        <f>IF(E30&gt;0,F30/E30,"")</f>
      </c>
      <c r="H30" s="10">
        <f>IF(D30&gt;0,F30-E30,"")</f>
      </c>
    </row>
    <row r="31" spans="1:8" x14ac:dyDescent="0.25">
      <c r="A31" s="5" t="s">
        <v>48</v>
      </c>
      <c r="B31" s="22" t="s">
        <v>50</v>
      </c>
      <c r="C31" s="8">
        <v>245</v>
      </c>
      <c r="D31" s="5">
        <f>IFERROR(N(INDIRECT("'"&amp;$A$5&amp;"'!N37")),0)+IFERROR(N(INDIRECT("'"&amp;$A$6&amp;"'!N37")),0)+IFERROR(N(INDIRECT("'"&amp;$A$7&amp;"'!N37")),0)+IFERROR(N(INDIRECT("'"&amp;$A$8&amp;"'!N37")),0)+IFERROR(N(INDIRECT("'"&amp;$A$9&amp;"'!N37")),0)+IFERROR(N(INDIRECT("'"&amp;$A$10&amp;"'!N37")),0)+IFERROR(N(INDIRECT("'"&amp;$A$11&amp;"'!N37")),0)+IFERROR(N(INDIRECT("'"&amp;$A$12&amp;"'!N37")),0)+IFERROR(N(INDIRECT("'"&amp;$A$13&amp;"'!N37")),0)+IFERROR(N(INDIRECT("'"&amp;$A$14&amp;"'!N37")),0)</f>
      </c>
      <c r="E31" s="8">
        <f>IFERROR(N(INDIRECT("'"&amp;$A$5&amp;"'!O37")),0)+IFERROR(N(INDIRECT("'"&amp;$A$6&amp;"'!O37")),0)+IFERROR(N(INDIRECT("'"&amp;$A$7&amp;"'!O37")),0)+IFERROR(N(INDIRECT("'"&amp;$A$8&amp;"'!O37")),0)+IFERROR(N(INDIRECT("'"&amp;$A$9&amp;"'!O37")),0)+IFERROR(N(INDIRECT("'"&amp;$A$10&amp;"'!O37")),0)+IFERROR(N(INDIRECT("'"&amp;$A$11&amp;"'!O37")),0)+IFERROR(N(INDIRECT("'"&amp;$A$12&amp;"'!O37")),0)+IFERROR(N(INDIRECT("'"&amp;$A$13&amp;"'!O37")),0)+IFERROR(N(INDIRECT("'"&amp;$A$14&amp;"'!O37")),0)</f>
      </c>
      <c r="F31" s="8">
        <f>IFERROR(N(INDIRECT("'"&amp;$A$5&amp;"'!P37")),0)+IFERROR(N(INDIRECT("'"&amp;$A$6&amp;"'!P37")),0)+IFERROR(N(INDIRECT("'"&amp;$A$7&amp;"'!P37")),0)+IFERROR(N(INDIRECT("'"&amp;$A$8&amp;"'!P37")),0)+IFERROR(N(INDIRECT("'"&amp;$A$9&amp;"'!P37")),0)+IFERROR(N(INDIRECT("'"&amp;$A$10&amp;"'!P37")),0)+IFERROR(N(INDIRECT("'"&amp;$A$11&amp;"'!P37")),0)+IFERROR(N(INDIRECT("'"&amp;$A$12&amp;"'!P37")),0)+IFERROR(N(INDIRECT("'"&amp;$A$13&amp;"'!P37")),0)+IFERROR(N(INDIRECT("'"&amp;$A$14&amp;"'!P37")),0)</f>
      </c>
      <c r="G31" s="9">
        <f>IF(E31&gt;0,F31/E31,"")</f>
      </c>
      <c r="H31" s="10">
        <f>IF(D31&gt;0,F31-E31,"")</f>
      </c>
    </row>
    <row r="32" spans="1:8" x14ac:dyDescent="0.25">
      <c r="A32" s="5" t="s">
        <v>48</v>
      </c>
      <c r="B32" s="22" t="s">
        <v>51</v>
      </c>
      <c r="C32" s="8">
        <v>322</v>
      </c>
      <c r="D32" s="5">
        <f>IFERROR(N(INDIRECT("'"&amp;$A$5&amp;"'!N38")),0)+IFERROR(N(INDIRECT("'"&amp;$A$6&amp;"'!N38")),0)+IFERROR(N(INDIRECT("'"&amp;$A$7&amp;"'!N38")),0)+IFERROR(N(INDIRECT("'"&amp;$A$8&amp;"'!N38")),0)+IFERROR(N(INDIRECT("'"&amp;$A$9&amp;"'!N38")),0)+IFERROR(N(INDIRECT("'"&amp;$A$10&amp;"'!N38")),0)+IFERROR(N(INDIRECT("'"&amp;$A$11&amp;"'!N38")),0)+IFERROR(N(INDIRECT("'"&amp;$A$12&amp;"'!N38")),0)+IFERROR(N(INDIRECT("'"&amp;$A$13&amp;"'!N38")),0)+IFERROR(N(INDIRECT("'"&amp;$A$14&amp;"'!N38")),0)</f>
      </c>
      <c r="E32" s="8">
        <f>IFERROR(N(INDIRECT("'"&amp;$A$5&amp;"'!O38")),0)+IFERROR(N(INDIRECT("'"&amp;$A$6&amp;"'!O38")),0)+IFERROR(N(INDIRECT("'"&amp;$A$7&amp;"'!O38")),0)+IFERROR(N(INDIRECT("'"&amp;$A$8&amp;"'!O38")),0)+IFERROR(N(INDIRECT("'"&amp;$A$9&amp;"'!O38")),0)+IFERROR(N(INDIRECT("'"&amp;$A$10&amp;"'!O38")),0)+IFERROR(N(INDIRECT("'"&amp;$A$11&amp;"'!O38")),0)+IFERROR(N(INDIRECT("'"&amp;$A$12&amp;"'!O38")),0)+IFERROR(N(INDIRECT("'"&amp;$A$13&amp;"'!O38")),0)+IFERROR(N(INDIRECT("'"&amp;$A$14&amp;"'!O38")),0)</f>
      </c>
      <c r="F32" s="8">
        <f>IFERROR(N(INDIRECT("'"&amp;$A$5&amp;"'!P38")),0)+IFERROR(N(INDIRECT("'"&amp;$A$6&amp;"'!P38")),0)+IFERROR(N(INDIRECT("'"&amp;$A$7&amp;"'!P38")),0)+IFERROR(N(INDIRECT("'"&amp;$A$8&amp;"'!P38")),0)+IFERROR(N(INDIRECT("'"&amp;$A$9&amp;"'!P38")),0)+IFERROR(N(INDIRECT("'"&amp;$A$10&amp;"'!P38")),0)+IFERROR(N(INDIRECT("'"&amp;$A$11&amp;"'!P38")),0)+IFERROR(N(INDIRECT("'"&amp;$A$12&amp;"'!P38")),0)+IFERROR(N(INDIRECT("'"&amp;$A$13&amp;"'!P38")),0)+IFERROR(N(INDIRECT("'"&amp;$A$14&amp;"'!P38")),0)</f>
      </c>
      <c r="G32" s="9">
        <f>IF(E32&gt;0,F32/E32,"")</f>
      </c>
      <c r="H32" s="10">
        <f>IF(D32&gt;0,F32-E32,"")</f>
      </c>
    </row>
    <row r="33" spans="1:8" x14ac:dyDescent="0.25">
      <c r="A33" s="5" t="s">
        <v>48</v>
      </c>
      <c r="B33" s="22" t="s">
        <v>52</v>
      </c>
      <c r="C33" s="8">
        <v>666</v>
      </c>
      <c r="D33" s="5">
        <f>IFERROR(N(INDIRECT("'"&amp;$A$5&amp;"'!N39")),0)+IFERROR(N(INDIRECT("'"&amp;$A$6&amp;"'!N39")),0)+IFERROR(N(INDIRECT("'"&amp;$A$7&amp;"'!N39")),0)+IFERROR(N(INDIRECT("'"&amp;$A$8&amp;"'!N39")),0)+IFERROR(N(INDIRECT("'"&amp;$A$9&amp;"'!N39")),0)+IFERROR(N(INDIRECT("'"&amp;$A$10&amp;"'!N39")),0)+IFERROR(N(INDIRECT("'"&amp;$A$11&amp;"'!N39")),0)+IFERROR(N(INDIRECT("'"&amp;$A$12&amp;"'!N39")),0)+IFERROR(N(INDIRECT("'"&amp;$A$13&amp;"'!N39")),0)+IFERROR(N(INDIRECT("'"&amp;$A$14&amp;"'!N39")),0)</f>
      </c>
      <c r="E33" s="8">
        <f>IFERROR(N(INDIRECT("'"&amp;$A$5&amp;"'!O39")),0)+IFERROR(N(INDIRECT("'"&amp;$A$6&amp;"'!O39")),0)+IFERROR(N(INDIRECT("'"&amp;$A$7&amp;"'!O39")),0)+IFERROR(N(INDIRECT("'"&amp;$A$8&amp;"'!O39")),0)+IFERROR(N(INDIRECT("'"&amp;$A$9&amp;"'!O39")),0)+IFERROR(N(INDIRECT("'"&amp;$A$10&amp;"'!O39")),0)+IFERROR(N(INDIRECT("'"&amp;$A$11&amp;"'!O39")),0)+IFERROR(N(INDIRECT("'"&amp;$A$12&amp;"'!O39")),0)+IFERROR(N(INDIRECT("'"&amp;$A$13&amp;"'!O39")),0)+IFERROR(N(INDIRECT("'"&amp;$A$14&amp;"'!O39")),0)</f>
      </c>
      <c r="F33" s="8">
        <f>IFERROR(N(INDIRECT("'"&amp;$A$5&amp;"'!P39")),0)+IFERROR(N(INDIRECT("'"&amp;$A$6&amp;"'!P39")),0)+IFERROR(N(INDIRECT("'"&amp;$A$7&amp;"'!P39")),0)+IFERROR(N(INDIRECT("'"&amp;$A$8&amp;"'!P39")),0)+IFERROR(N(INDIRECT("'"&amp;$A$9&amp;"'!P39")),0)+IFERROR(N(INDIRECT("'"&amp;$A$10&amp;"'!P39")),0)+IFERROR(N(INDIRECT("'"&amp;$A$11&amp;"'!P39")),0)+IFERROR(N(INDIRECT("'"&amp;$A$12&amp;"'!P39")),0)+IFERROR(N(INDIRECT("'"&amp;$A$13&amp;"'!P39")),0)+IFERROR(N(INDIRECT("'"&amp;$A$14&amp;"'!P39")),0)</f>
      </c>
      <c r="G33" s="9">
        <f>IF(E33&gt;0,F33/E33,"")</f>
      </c>
      <c r="H33" s="10">
        <f>IF(D33&gt;0,F33-E33,"")</f>
      </c>
    </row>
    <row r="34" spans="1:8" x14ac:dyDescent="0.25">
      <c r="A34" s="5" t="s">
        <v>53</v>
      </c>
      <c r="B34" s="22" t="s">
        <v>54</v>
      </c>
      <c r="C34" s="8">
        <v>249</v>
      </c>
      <c r="D34" s="5">
        <f>IFERROR(N(INDIRECT("'"&amp;$A$5&amp;"'!N40")),0)+IFERROR(N(INDIRECT("'"&amp;$A$6&amp;"'!N40")),0)+IFERROR(N(INDIRECT("'"&amp;$A$7&amp;"'!N40")),0)+IFERROR(N(INDIRECT("'"&amp;$A$8&amp;"'!N40")),0)+IFERROR(N(INDIRECT("'"&amp;$A$9&amp;"'!N40")),0)+IFERROR(N(INDIRECT("'"&amp;$A$10&amp;"'!N40")),0)+IFERROR(N(INDIRECT("'"&amp;$A$11&amp;"'!N40")),0)+IFERROR(N(INDIRECT("'"&amp;$A$12&amp;"'!N40")),0)+IFERROR(N(INDIRECT("'"&amp;$A$13&amp;"'!N40")),0)+IFERROR(N(INDIRECT("'"&amp;$A$14&amp;"'!N40")),0)</f>
      </c>
      <c r="E34" s="8">
        <f>IFERROR(N(INDIRECT("'"&amp;$A$5&amp;"'!O40")),0)+IFERROR(N(INDIRECT("'"&amp;$A$6&amp;"'!O40")),0)+IFERROR(N(INDIRECT("'"&amp;$A$7&amp;"'!O40")),0)+IFERROR(N(INDIRECT("'"&amp;$A$8&amp;"'!O40")),0)+IFERROR(N(INDIRECT("'"&amp;$A$9&amp;"'!O40")),0)+IFERROR(N(INDIRECT("'"&amp;$A$10&amp;"'!O40")),0)+IFERROR(N(INDIRECT("'"&amp;$A$11&amp;"'!O40")),0)+IFERROR(N(INDIRECT("'"&amp;$A$12&amp;"'!O40")),0)+IFERROR(N(INDIRECT("'"&amp;$A$13&amp;"'!O40")),0)+IFERROR(N(INDIRECT("'"&amp;$A$14&amp;"'!O40")),0)</f>
      </c>
      <c r="F34" s="8">
        <f>IFERROR(N(INDIRECT("'"&amp;$A$5&amp;"'!P40")),0)+IFERROR(N(INDIRECT("'"&amp;$A$6&amp;"'!P40")),0)+IFERROR(N(INDIRECT("'"&amp;$A$7&amp;"'!P40")),0)+IFERROR(N(INDIRECT("'"&amp;$A$8&amp;"'!P40")),0)+IFERROR(N(INDIRECT("'"&amp;$A$9&amp;"'!P40")),0)+IFERROR(N(INDIRECT("'"&amp;$A$10&amp;"'!P40")),0)+IFERROR(N(INDIRECT("'"&amp;$A$11&amp;"'!P40")),0)+IFERROR(N(INDIRECT("'"&amp;$A$12&amp;"'!P40")),0)+IFERROR(N(INDIRECT("'"&amp;$A$13&amp;"'!P40")),0)+IFERROR(N(INDIRECT("'"&amp;$A$14&amp;"'!P40")),0)</f>
      </c>
      <c r="G34" s="9">
        <f>IF(E34&gt;0,F34/E34,"")</f>
      </c>
      <c r="H34" s="10">
        <f>IF(D34&gt;0,F34-E34,"")</f>
      </c>
    </row>
    <row r="35" spans="1:8" x14ac:dyDescent="0.25">
      <c r="A35" s="5" t="s">
        <v>53</v>
      </c>
      <c r="B35" s="22" t="s">
        <v>55</v>
      </c>
      <c r="C35" s="8">
        <v>299</v>
      </c>
      <c r="D35" s="5">
        <f>IFERROR(N(INDIRECT("'"&amp;$A$5&amp;"'!N41")),0)+IFERROR(N(INDIRECT("'"&amp;$A$6&amp;"'!N41")),0)+IFERROR(N(INDIRECT("'"&amp;$A$7&amp;"'!N41")),0)+IFERROR(N(INDIRECT("'"&amp;$A$8&amp;"'!N41")),0)+IFERROR(N(INDIRECT("'"&amp;$A$9&amp;"'!N41")),0)+IFERROR(N(INDIRECT("'"&amp;$A$10&amp;"'!N41")),0)+IFERROR(N(INDIRECT("'"&amp;$A$11&amp;"'!N41")),0)+IFERROR(N(INDIRECT("'"&amp;$A$12&amp;"'!N41")),0)+IFERROR(N(INDIRECT("'"&amp;$A$13&amp;"'!N41")),0)+IFERROR(N(INDIRECT("'"&amp;$A$14&amp;"'!N41")),0)</f>
      </c>
      <c r="E35" s="8">
        <f>IFERROR(N(INDIRECT("'"&amp;$A$5&amp;"'!O41")),0)+IFERROR(N(INDIRECT("'"&amp;$A$6&amp;"'!O41")),0)+IFERROR(N(INDIRECT("'"&amp;$A$7&amp;"'!O41")),0)+IFERROR(N(INDIRECT("'"&amp;$A$8&amp;"'!O41")),0)+IFERROR(N(INDIRECT("'"&amp;$A$9&amp;"'!O41")),0)+IFERROR(N(INDIRECT("'"&amp;$A$10&amp;"'!O41")),0)+IFERROR(N(INDIRECT("'"&amp;$A$11&amp;"'!O41")),0)+IFERROR(N(INDIRECT("'"&amp;$A$12&amp;"'!O41")),0)+IFERROR(N(INDIRECT("'"&amp;$A$13&amp;"'!O41")),0)+IFERROR(N(INDIRECT("'"&amp;$A$14&amp;"'!O41")),0)</f>
      </c>
      <c r="F35" s="8">
        <f>IFERROR(N(INDIRECT("'"&amp;$A$5&amp;"'!P41")),0)+IFERROR(N(INDIRECT("'"&amp;$A$6&amp;"'!P41")),0)+IFERROR(N(INDIRECT("'"&amp;$A$7&amp;"'!P41")),0)+IFERROR(N(INDIRECT("'"&amp;$A$8&amp;"'!P41")),0)+IFERROR(N(INDIRECT("'"&amp;$A$9&amp;"'!P41")),0)+IFERROR(N(INDIRECT("'"&amp;$A$10&amp;"'!P41")),0)+IFERROR(N(INDIRECT("'"&amp;$A$11&amp;"'!P41")),0)+IFERROR(N(INDIRECT("'"&amp;$A$12&amp;"'!P41")),0)+IFERROR(N(INDIRECT("'"&amp;$A$13&amp;"'!P41")),0)+IFERROR(N(INDIRECT("'"&amp;$A$14&amp;"'!P41")),0)</f>
      </c>
      <c r="G35" s="9">
        <f>IF(E35&gt;0,F35/E35,"")</f>
      </c>
      <c r="H35" s="10">
        <f>IF(D35&gt;0,F35-E35,"")</f>
      </c>
    </row>
    <row r="36" spans="1:8" x14ac:dyDescent="0.25">
      <c r="A36" s="5" t="s">
        <v>53</v>
      </c>
      <c r="B36" s="22" t="s">
        <v>56</v>
      </c>
      <c r="C36" s="8">
        <v>299</v>
      </c>
      <c r="D36" s="5">
        <f>IFERROR(N(INDIRECT("'"&amp;$A$5&amp;"'!N42")),0)+IFERROR(N(INDIRECT("'"&amp;$A$6&amp;"'!N42")),0)+IFERROR(N(INDIRECT("'"&amp;$A$7&amp;"'!N42")),0)+IFERROR(N(INDIRECT("'"&amp;$A$8&amp;"'!N42")),0)+IFERROR(N(INDIRECT("'"&amp;$A$9&amp;"'!N42")),0)+IFERROR(N(INDIRECT("'"&amp;$A$10&amp;"'!N42")),0)+IFERROR(N(INDIRECT("'"&amp;$A$11&amp;"'!N42")),0)+IFERROR(N(INDIRECT("'"&amp;$A$12&amp;"'!N42")),0)+IFERROR(N(INDIRECT("'"&amp;$A$13&amp;"'!N42")),0)+IFERROR(N(INDIRECT("'"&amp;$A$14&amp;"'!N42")),0)</f>
      </c>
      <c r="E36" s="8">
        <f>IFERROR(N(INDIRECT("'"&amp;$A$5&amp;"'!O42")),0)+IFERROR(N(INDIRECT("'"&amp;$A$6&amp;"'!O42")),0)+IFERROR(N(INDIRECT("'"&amp;$A$7&amp;"'!O42")),0)+IFERROR(N(INDIRECT("'"&amp;$A$8&amp;"'!O42")),0)+IFERROR(N(INDIRECT("'"&amp;$A$9&amp;"'!O42")),0)+IFERROR(N(INDIRECT("'"&amp;$A$10&amp;"'!O42")),0)+IFERROR(N(INDIRECT("'"&amp;$A$11&amp;"'!O42")),0)+IFERROR(N(INDIRECT("'"&amp;$A$12&amp;"'!O42")),0)+IFERROR(N(INDIRECT("'"&amp;$A$13&amp;"'!O42")),0)+IFERROR(N(INDIRECT("'"&amp;$A$14&amp;"'!O42")),0)</f>
      </c>
      <c r="F36" s="8">
        <f>IFERROR(N(INDIRECT("'"&amp;$A$5&amp;"'!P42")),0)+IFERROR(N(INDIRECT("'"&amp;$A$6&amp;"'!P42")),0)+IFERROR(N(INDIRECT("'"&amp;$A$7&amp;"'!P42")),0)+IFERROR(N(INDIRECT("'"&amp;$A$8&amp;"'!P42")),0)+IFERROR(N(INDIRECT("'"&amp;$A$9&amp;"'!P42")),0)+IFERROR(N(INDIRECT("'"&amp;$A$10&amp;"'!P42")),0)+IFERROR(N(INDIRECT("'"&amp;$A$11&amp;"'!P42")),0)+IFERROR(N(INDIRECT("'"&amp;$A$12&amp;"'!P42")),0)+IFERROR(N(INDIRECT("'"&amp;$A$13&amp;"'!P42")),0)+IFERROR(N(INDIRECT("'"&amp;$A$14&amp;"'!P42")),0)</f>
      </c>
      <c r="G36" s="9">
        <f>IF(E36&gt;0,F36/E36,"")</f>
      </c>
      <c r="H36" s="10">
        <f>IF(D36&gt;0,F36-E36,"")</f>
      </c>
    </row>
    <row r="37" spans="1:8" x14ac:dyDescent="0.25">
      <c r="A37" s="5" t="s">
        <v>53</v>
      </c>
      <c r="B37" s="22" t="s">
        <v>57</v>
      </c>
      <c r="C37" s="8">
        <v>349</v>
      </c>
      <c r="D37" s="5">
        <f>IFERROR(N(INDIRECT("'"&amp;$A$5&amp;"'!N43")),0)+IFERROR(N(INDIRECT("'"&amp;$A$6&amp;"'!N43")),0)+IFERROR(N(INDIRECT("'"&amp;$A$7&amp;"'!N43")),0)+IFERROR(N(INDIRECT("'"&amp;$A$8&amp;"'!N43")),0)+IFERROR(N(INDIRECT("'"&amp;$A$9&amp;"'!N43")),0)+IFERROR(N(INDIRECT("'"&amp;$A$10&amp;"'!N43")),0)+IFERROR(N(INDIRECT("'"&amp;$A$11&amp;"'!N43")),0)+IFERROR(N(INDIRECT("'"&amp;$A$12&amp;"'!N43")),0)+IFERROR(N(INDIRECT("'"&amp;$A$13&amp;"'!N43")),0)+IFERROR(N(INDIRECT("'"&amp;$A$14&amp;"'!N43")),0)</f>
      </c>
      <c r="E37" s="8">
        <f>IFERROR(N(INDIRECT("'"&amp;$A$5&amp;"'!O43")),0)+IFERROR(N(INDIRECT("'"&amp;$A$6&amp;"'!O43")),0)+IFERROR(N(INDIRECT("'"&amp;$A$7&amp;"'!O43")),0)+IFERROR(N(INDIRECT("'"&amp;$A$8&amp;"'!O43")),0)+IFERROR(N(INDIRECT("'"&amp;$A$9&amp;"'!O43")),0)+IFERROR(N(INDIRECT("'"&amp;$A$10&amp;"'!O43")),0)+IFERROR(N(INDIRECT("'"&amp;$A$11&amp;"'!O43")),0)+IFERROR(N(INDIRECT("'"&amp;$A$12&amp;"'!O43")),0)+IFERROR(N(INDIRECT("'"&amp;$A$13&amp;"'!O43")),0)+IFERROR(N(INDIRECT("'"&amp;$A$14&amp;"'!O43")),0)</f>
      </c>
      <c r="F37" s="8">
        <f>IFERROR(N(INDIRECT("'"&amp;$A$5&amp;"'!P43")),0)+IFERROR(N(INDIRECT("'"&amp;$A$6&amp;"'!P43")),0)+IFERROR(N(INDIRECT("'"&amp;$A$7&amp;"'!P43")),0)+IFERROR(N(INDIRECT("'"&amp;$A$8&amp;"'!P43")),0)+IFERROR(N(INDIRECT("'"&amp;$A$9&amp;"'!P43")),0)+IFERROR(N(INDIRECT("'"&amp;$A$10&amp;"'!P43")),0)+IFERROR(N(INDIRECT("'"&amp;$A$11&amp;"'!P43")),0)+IFERROR(N(INDIRECT("'"&amp;$A$12&amp;"'!P43")),0)+IFERROR(N(INDIRECT("'"&amp;$A$13&amp;"'!P43")),0)+IFERROR(N(INDIRECT("'"&amp;$A$14&amp;"'!P43")),0)</f>
      </c>
      <c r="G37" s="9">
        <f>IF(E37&gt;0,F37/E37,"")</f>
      </c>
      <c r="H37" s="10">
        <f>IF(D37&gt;0,F37-E37,"")</f>
      </c>
    </row>
    <row r="38" spans="1:8" x14ac:dyDescent="0.25">
      <c r="A38" s="5" t="s">
        <v>53</v>
      </c>
      <c r="B38" s="22" t="s">
        <v>58</v>
      </c>
      <c r="C38" s="8">
        <v>349</v>
      </c>
      <c r="D38" s="5">
        <f>IFERROR(N(INDIRECT("'"&amp;$A$5&amp;"'!N44")),0)+IFERROR(N(INDIRECT("'"&amp;$A$6&amp;"'!N44")),0)+IFERROR(N(INDIRECT("'"&amp;$A$7&amp;"'!N44")),0)+IFERROR(N(INDIRECT("'"&amp;$A$8&amp;"'!N44")),0)+IFERROR(N(INDIRECT("'"&amp;$A$9&amp;"'!N44")),0)+IFERROR(N(INDIRECT("'"&amp;$A$10&amp;"'!N44")),0)+IFERROR(N(INDIRECT("'"&amp;$A$11&amp;"'!N44")),0)+IFERROR(N(INDIRECT("'"&amp;$A$12&amp;"'!N44")),0)+IFERROR(N(INDIRECT("'"&amp;$A$13&amp;"'!N44")),0)+IFERROR(N(INDIRECT("'"&amp;$A$14&amp;"'!N44")),0)</f>
      </c>
      <c r="E38" s="8">
        <f>IFERROR(N(INDIRECT("'"&amp;$A$5&amp;"'!O44")),0)+IFERROR(N(INDIRECT("'"&amp;$A$6&amp;"'!O44")),0)+IFERROR(N(INDIRECT("'"&amp;$A$7&amp;"'!O44")),0)+IFERROR(N(INDIRECT("'"&amp;$A$8&amp;"'!O44")),0)+IFERROR(N(INDIRECT("'"&amp;$A$9&amp;"'!O44")),0)+IFERROR(N(INDIRECT("'"&amp;$A$10&amp;"'!O44")),0)+IFERROR(N(INDIRECT("'"&amp;$A$11&amp;"'!O44")),0)+IFERROR(N(INDIRECT("'"&amp;$A$12&amp;"'!O44")),0)+IFERROR(N(INDIRECT("'"&amp;$A$13&amp;"'!O44")),0)+IFERROR(N(INDIRECT("'"&amp;$A$14&amp;"'!O44")),0)</f>
      </c>
      <c r="F38" s="8">
        <f>IFERROR(N(INDIRECT("'"&amp;$A$5&amp;"'!P44")),0)+IFERROR(N(INDIRECT("'"&amp;$A$6&amp;"'!P44")),0)+IFERROR(N(INDIRECT("'"&amp;$A$7&amp;"'!P44")),0)+IFERROR(N(INDIRECT("'"&amp;$A$8&amp;"'!P44")),0)+IFERROR(N(INDIRECT("'"&amp;$A$9&amp;"'!P44")),0)+IFERROR(N(INDIRECT("'"&amp;$A$10&amp;"'!P44")),0)+IFERROR(N(INDIRECT("'"&amp;$A$11&amp;"'!P44")),0)+IFERROR(N(INDIRECT("'"&amp;$A$12&amp;"'!P44")),0)+IFERROR(N(INDIRECT("'"&amp;$A$13&amp;"'!P44")),0)+IFERROR(N(INDIRECT("'"&amp;$A$14&amp;"'!P44")),0)</f>
      </c>
      <c r="G38" s="9">
        <f>IF(E38&gt;0,F38/E38,"")</f>
      </c>
      <c r="H38" s="10">
        <f>IF(D38&gt;0,F38-E38,"")</f>
      </c>
    </row>
    <row r="39" spans="1:8" x14ac:dyDescent="0.25">
      <c r="A39" s="5" t="s">
        <v>53</v>
      </c>
      <c r="B39" s="22" t="s">
        <v>59</v>
      </c>
      <c r="C39" s="8">
        <v>499</v>
      </c>
      <c r="D39" s="5">
        <f>IFERROR(N(INDIRECT("'"&amp;$A$5&amp;"'!N45")),0)+IFERROR(N(INDIRECT("'"&amp;$A$6&amp;"'!N45")),0)+IFERROR(N(INDIRECT("'"&amp;$A$7&amp;"'!N45")),0)+IFERROR(N(INDIRECT("'"&amp;$A$8&amp;"'!N45")),0)+IFERROR(N(INDIRECT("'"&amp;$A$9&amp;"'!N45")),0)+IFERROR(N(INDIRECT("'"&amp;$A$10&amp;"'!N45")),0)+IFERROR(N(INDIRECT("'"&amp;$A$11&amp;"'!N45")),0)+IFERROR(N(INDIRECT("'"&amp;$A$12&amp;"'!N45")),0)+IFERROR(N(INDIRECT("'"&amp;$A$13&amp;"'!N45")),0)+IFERROR(N(INDIRECT("'"&amp;$A$14&amp;"'!N45")),0)</f>
      </c>
      <c r="E39" s="8">
        <f>IFERROR(N(INDIRECT("'"&amp;$A$5&amp;"'!O45")),0)+IFERROR(N(INDIRECT("'"&amp;$A$6&amp;"'!O45")),0)+IFERROR(N(INDIRECT("'"&amp;$A$7&amp;"'!O45")),0)+IFERROR(N(INDIRECT("'"&amp;$A$8&amp;"'!O45")),0)+IFERROR(N(INDIRECT("'"&amp;$A$9&amp;"'!O45")),0)+IFERROR(N(INDIRECT("'"&amp;$A$10&amp;"'!O45")),0)+IFERROR(N(INDIRECT("'"&amp;$A$11&amp;"'!O45")),0)+IFERROR(N(INDIRECT("'"&amp;$A$12&amp;"'!O45")),0)+IFERROR(N(INDIRECT("'"&amp;$A$13&amp;"'!O45")),0)+IFERROR(N(INDIRECT("'"&amp;$A$14&amp;"'!O45")),0)</f>
      </c>
      <c r="F39" s="8">
        <f>IFERROR(N(INDIRECT("'"&amp;$A$5&amp;"'!P45")),0)+IFERROR(N(INDIRECT("'"&amp;$A$6&amp;"'!P45")),0)+IFERROR(N(INDIRECT("'"&amp;$A$7&amp;"'!P45")),0)+IFERROR(N(INDIRECT("'"&amp;$A$8&amp;"'!P45")),0)+IFERROR(N(INDIRECT("'"&amp;$A$9&amp;"'!P45")),0)+IFERROR(N(INDIRECT("'"&amp;$A$10&amp;"'!P45")),0)+IFERROR(N(INDIRECT("'"&amp;$A$11&amp;"'!P45")),0)+IFERROR(N(INDIRECT("'"&amp;$A$12&amp;"'!P45")),0)+IFERROR(N(INDIRECT("'"&amp;$A$13&amp;"'!P45")),0)+IFERROR(N(INDIRECT("'"&amp;$A$14&amp;"'!P45")),0)</f>
      </c>
      <c r="G39" s="9">
        <f>IF(E39&gt;0,F39/E39,"")</f>
      </c>
      <c r="H39" s="10">
        <f>IF(D39&gt;0,F39-E39,"")</f>
      </c>
    </row>
    <row r="40" spans="1:8" x14ac:dyDescent="0.25">
      <c r="A40" s="5" t="s">
        <v>60</v>
      </c>
      <c r="B40" s="22" t="s">
        <v>61</v>
      </c>
      <c r="C40" s="8">
        <v>15</v>
      </c>
      <c r="D40" s="5">
        <f>IFERROR(N(INDIRECT("'"&amp;$A$5&amp;"'!N46")),0)+IFERROR(N(INDIRECT("'"&amp;$A$6&amp;"'!N46")),0)+IFERROR(N(INDIRECT("'"&amp;$A$7&amp;"'!N46")),0)+IFERROR(N(INDIRECT("'"&amp;$A$8&amp;"'!N46")),0)+IFERROR(N(INDIRECT("'"&amp;$A$9&amp;"'!N46")),0)+IFERROR(N(INDIRECT("'"&amp;$A$10&amp;"'!N46")),0)+IFERROR(N(INDIRECT("'"&amp;$A$11&amp;"'!N46")),0)+IFERROR(N(INDIRECT("'"&amp;$A$12&amp;"'!N46")),0)+IFERROR(N(INDIRECT("'"&amp;$A$13&amp;"'!N46")),0)+IFERROR(N(INDIRECT("'"&amp;$A$14&amp;"'!N46")),0)</f>
      </c>
      <c r="E40" s="8">
        <f>IFERROR(N(INDIRECT("'"&amp;$A$5&amp;"'!O46")),0)+IFERROR(N(INDIRECT("'"&amp;$A$6&amp;"'!O46")),0)+IFERROR(N(INDIRECT("'"&amp;$A$7&amp;"'!O46")),0)+IFERROR(N(INDIRECT("'"&amp;$A$8&amp;"'!O46")),0)+IFERROR(N(INDIRECT("'"&amp;$A$9&amp;"'!O46")),0)+IFERROR(N(INDIRECT("'"&amp;$A$10&amp;"'!O46")),0)+IFERROR(N(INDIRECT("'"&amp;$A$11&amp;"'!O46")),0)+IFERROR(N(INDIRECT("'"&amp;$A$12&amp;"'!O46")),0)+IFERROR(N(INDIRECT("'"&amp;$A$13&amp;"'!O46")),0)+IFERROR(N(INDIRECT("'"&amp;$A$14&amp;"'!O46")),0)</f>
      </c>
      <c r="F40" s="8">
        <f>IFERROR(N(INDIRECT("'"&amp;$A$5&amp;"'!P46")),0)+IFERROR(N(INDIRECT("'"&amp;$A$6&amp;"'!P46")),0)+IFERROR(N(INDIRECT("'"&amp;$A$7&amp;"'!P46")),0)+IFERROR(N(INDIRECT("'"&amp;$A$8&amp;"'!P46")),0)+IFERROR(N(INDIRECT("'"&amp;$A$9&amp;"'!P46")),0)+IFERROR(N(INDIRECT("'"&amp;$A$10&amp;"'!P46")),0)+IFERROR(N(INDIRECT("'"&amp;$A$11&amp;"'!P46")),0)+IFERROR(N(INDIRECT("'"&amp;$A$12&amp;"'!P46")),0)+IFERROR(N(INDIRECT("'"&amp;$A$13&amp;"'!P46")),0)+IFERROR(N(INDIRECT("'"&amp;$A$14&amp;"'!P46")),0)</f>
      </c>
      <c r="G40" s="9">
        <f>IF(E40&gt;0,F40/E40,"")</f>
      </c>
      <c r="H40" s="10">
        <f>IF(D40&gt;0,F40-E40,"")</f>
      </c>
    </row>
    <row r="41" spans="1:8" x14ac:dyDescent="0.25">
      <c r="A41" s="5" t="s">
        <v>60</v>
      </c>
      <c r="B41" s="22" t="s">
        <v>62</v>
      </c>
      <c r="C41" s="8">
        <v>60</v>
      </c>
      <c r="D41" s="5">
        <f>IFERROR(N(INDIRECT("'"&amp;$A$5&amp;"'!N47")),0)+IFERROR(N(INDIRECT("'"&amp;$A$6&amp;"'!N47")),0)+IFERROR(N(INDIRECT("'"&amp;$A$7&amp;"'!N47")),0)+IFERROR(N(INDIRECT("'"&amp;$A$8&amp;"'!N47")),0)+IFERROR(N(INDIRECT("'"&amp;$A$9&amp;"'!N47")),0)+IFERROR(N(INDIRECT("'"&amp;$A$10&amp;"'!N47")),0)+IFERROR(N(INDIRECT("'"&amp;$A$11&amp;"'!N47")),0)+IFERROR(N(INDIRECT("'"&amp;$A$12&amp;"'!N47")),0)+IFERROR(N(INDIRECT("'"&amp;$A$13&amp;"'!N47")),0)+IFERROR(N(INDIRECT("'"&amp;$A$14&amp;"'!N47")),0)</f>
      </c>
      <c r="E41" s="8">
        <f>IFERROR(N(INDIRECT("'"&amp;$A$5&amp;"'!O47")),0)+IFERROR(N(INDIRECT("'"&amp;$A$6&amp;"'!O47")),0)+IFERROR(N(INDIRECT("'"&amp;$A$7&amp;"'!O47")),0)+IFERROR(N(INDIRECT("'"&amp;$A$8&amp;"'!O47")),0)+IFERROR(N(INDIRECT("'"&amp;$A$9&amp;"'!O47")),0)+IFERROR(N(INDIRECT("'"&amp;$A$10&amp;"'!O47")),0)+IFERROR(N(INDIRECT("'"&amp;$A$11&amp;"'!O47")),0)+IFERROR(N(INDIRECT("'"&amp;$A$12&amp;"'!O47")),0)+IFERROR(N(INDIRECT("'"&amp;$A$13&amp;"'!O47")),0)+IFERROR(N(INDIRECT("'"&amp;$A$14&amp;"'!O47")),0)</f>
      </c>
      <c r="F41" s="8">
        <f>IFERROR(N(INDIRECT("'"&amp;$A$5&amp;"'!P47")),0)+IFERROR(N(INDIRECT("'"&amp;$A$6&amp;"'!P47")),0)+IFERROR(N(INDIRECT("'"&amp;$A$7&amp;"'!P47")),0)+IFERROR(N(INDIRECT("'"&amp;$A$8&amp;"'!P47")),0)+IFERROR(N(INDIRECT("'"&amp;$A$9&amp;"'!P47")),0)+IFERROR(N(INDIRECT("'"&amp;$A$10&amp;"'!P47")),0)+IFERROR(N(INDIRECT("'"&amp;$A$11&amp;"'!P47")),0)+IFERROR(N(INDIRECT("'"&amp;$A$12&amp;"'!P47")),0)+IFERROR(N(INDIRECT("'"&amp;$A$13&amp;"'!P47")),0)+IFERROR(N(INDIRECT("'"&amp;$A$14&amp;"'!P47")),0)</f>
      </c>
      <c r="G41" s="9">
        <f>IF(E41&gt;0,F41/E41,"")</f>
      </c>
      <c r="H41" s="10">
        <f>IF(D41&gt;0,F41-E41,"")</f>
      </c>
    </row>
    <row r="42" spans="1:8" x14ac:dyDescent="0.25">
      <c r="A42" s="5" t="s">
        <v>63</v>
      </c>
      <c r="B42" s="22" t="s">
        <v>64</v>
      </c>
      <c r="C42" s="8">
        <v>3549</v>
      </c>
      <c r="D42" s="5">
        <f>IFERROR(N(INDIRECT("'"&amp;$A$5&amp;"'!N48")),0)+IFERROR(N(INDIRECT("'"&amp;$A$6&amp;"'!N48")),0)+IFERROR(N(INDIRECT("'"&amp;$A$7&amp;"'!N48")),0)+IFERROR(N(INDIRECT("'"&amp;$A$8&amp;"'!N48")),0)+IFERROR(N(INDIRECT("'"&amp;$A$9&amp;"'!N48")),0)+IFERROR(N(INDIRECT("'"&amp;$A$10&amp;"'!N48")),0)+IFERROR(N(INDIRECT("'"&amp;$A$11&amp;"'!N48")),0)+IFERROR(N(INDIRECT("'"&amp;$A$12&amp;"'!N48")),0)+IFERROR(N(INDIRECT("'"&amp;$A$13&amp;"'!N48")),0)+IFERROR(N(INDIRECT("'"&amp;$A$14&amp;"'!N48")),0)</f>
      </c>
      <c r="E42" s="8">
        <f>IFERROR(N(INDIRECT("'"&amp;$A$5&amp;"'!O48")),0)+IFERROR(N(INDIRECT("'"&amp;$A$6&amp;"'!O48")),0)+IFERROR(N(INDIRECT("'"&amp;$A$7&amp;"'!O48")),0)+IFERROR(N(INDIRECT("'"&amp;$A$8&amp;"'!O48")),0)+IFERROR(N(INDIRECT("'"&amp;$A$9&amp;"'!O48")),0)+IFERROR(N(INDIRECT("'"&amp;$A$10&amp;"'!O48")),0)+IFERROR(N(INDIRECT("'"&amp;$A$11&amp;"'!O48")),0)+IFERROR(N(INDIRECT("'"&amp;$A$12&amp;"'!O48")),0)+IFERROR(N(INDIRECT("'"&amp;$A$13&amp;"'!O48")),0)+IFERROR(N(INDIRECT("'"&amp;$A$14&amp;"'!O48")),0)</f>
      </c>
      <c r="F42" s="8">
        <f>IFERROR(N(INDIRECT("'"&amp;$A$5&amp;"'!P48")),0)+IFERROR(N(INDIRECT("'"&amp;$A$6&amp;"'!P48")),0)+IFERROR(N(INDIRECT("'"&amp;$A$7&amp;"'!P48")),0)+IFERROR(N(INDIRECT("'"&amp;$A$8&amp;"'!P48")),0)+IFERROR(N(INDIRECT("'"&amp;$A$9&amp;"'!P48")),0)+IFERROR(N(INDIRECT("'"&amp;$A$10&amp;"'!P48")),0)+IFERROR(N(INDIRECT("'"&amp;$A$11&amp;"'!P48")),0)+IFERROR(N(INDIRECT("'"&amp;$A$12&amp;"'!P48")),0)+IFERROR(N(INDIRECT("'"&amp;$A$13&amp;"'!P48")),0)+IFERROR(N(INDIRECT("'"&amp;$A$14&amp;"'!P48")),0)</f>
      </c>
      <c r="G42" s="9">
        <f>IF(E42&gt;0,F42/E42,"")</f>
      </c>
      <c r="H42" s="10">
        <f>IF(D42&gt;0,F42-E42,"")</f>
      </c>
    </row>
    <row r="43" spans="1:8" x14ac:dyDescent="0.25">
      <c r="A43" s="5" t="s">
        <v>63</v>
      </c>
      <c r="B43" s="22" t="s">
        <v>65</v>
      </c>
      <c r="C43" s="8">
        <v>39999</v>
      </c>
      <c r="D43" s="5">
        <f>IFERROR(N(INDIRECT("'"&amp;$A$5&amp;"'!N49")),0)+IFERROR(N(INDIRECT("'"&amp;$A$6&amp;"'!N49")),0)+IFERROR(N(INDIRECT("'"&amp;$A$7&amp;"'!N49")),0)+IFERROR(N(INDIRECT("'"&amp;$A$8&amp;"'!N49")),0)+IFERROR(N(INDIRECT("'"&amp;$A$9&amp;"'!N49")),0)+IFERROR(N(INDIRECT("'"&amp;$A$10&amp;"'!N49")),0)+IFERROR(N(INDIRECT("'"&amp;$A$11&amp;"'!N49")),0)+IFERROR(N(INDIRECT("'"&amp;$A$12&amp;"'!N49")),0)+IFERROR(N(INDIRECT("'"&amp;$A$13&amp;"'!N49")),0)+IFERROR(N(INDIRECT("'"&amp;$A$14&amp;"'!N49")),0)</f>
      </c>
      <c r="E43" s="8">
        <f>IFERROR(N(INDIRECT("'"&amp;$A$5&amp;"'!O49")),0)+IFERROR(N(INDIRECT("'"&amp;$A$6&amp;"'!O49")),0)+IFERROR(N(INDIRECT("'"&amp;$A$7&amp;"'!O49")),0)+IFERROR(N(INDIRECT("'"&amp;$A$8&amp;"'!O49")),0)+IFERROR(N(INDIRECT("'"&amp;$A$9&amp;"'!O49")),0)+IFERROR(N(INDIRECT("'"&amp;$A$10&amp;"'!O49")),0)+IFERROR(N(INDIRECT("'"&amp;$A$11&amp;"'!O49")),0)+IFERROR(N(INDIRECT("'"&amp;$A$12&amp;"'!O49")),0)+IFERROR(N(INDIRECT("'"&amp;$A$13&amp;"'!O49")),0)+IFERROR(N(INDIRECT("'"&amp;$A$14&amp;"'!O49")),0)</f>
      </c>
      <c r="F43" s="8">
        <f>IFERROR(N(INDIRECT("'"&amp;$A$5&amp;"'!P49")),0)+IFERROR(N(INDIRECT("'"&amp;$A$6&amp;"'!P49")),0)+IFERROR(N(INDIRECT("'"&amp;$A$7&amp;"'!P49")),0)+IFERROR(N(INDIRECT("'"&amp;$A$8&amp;"'!P49")),0)+IFERROR(N(INDIRECT("'"&amp;$A$9&amp;"'!P49")),0)+IFERROR(N(INDIRECT("'"&amp;$A$10&amp;"'!P49")),0)+IFERROR(N(INDIRECT("'"&amp;$A$11&amp;"'!P49")),0)+IFERROR(N(INDIRECT("'"&amp;$A$12&amp;"'!P49")),0)+IFERROR(N(INDIRECT("'"&amp;$A$13&amp;"'!P49")),0)+IFERROR(N(INDIRECT("'"&amp;$A$14&amp;"'!P49")),0)</f>
      </c>
      <c r="G43" s="9">
        <f>IF(E43&gt;0,F43/E43,"")</f>
      </c>
      <c r="H43" s="10">
        <f>IF(D43&gt;0,F43-E43,"")</f>
      </c>
    </row>
    <row r="44" spans="1:8" x14ac:dyDescent="0.25">
      <c r="A44" s="5" t="s">
        <v>63</v>
      </c>
      <c r="B44" s="22" t="s">
        <v>66</v>
      </c>
      <c r="C44" s="8">
        <v>89999</v>
      </c>
      <c r="D44" s="5">
        <f>IFERROR(N(INDIRECT("'"&amp;$A$5&amp;"'!N50")),0)+IFERROR(N(INDIRECT("'"&amp;$A$6&amp;"'!N50")),0)+IFERROR(N(INDIRECT("'"&amp;$A$7&amp;"'!N50")),0)+IFERROR(N(INDIRECT("'"&amp;$A$8&amp;"'!N50")),0)+IFERROR(N(INDIRECT("'"&amp;$A$9&amp;"'!N50")),0)+IFERROR(N(INDIRECT("'"&amp;$A$10&amp;"'!N50")),0)+IFERROR(N(INDIRECT("'"&amp;$A$11&amp;"'!N50")),0)+IFERROR(N(INDIRECT("'"&amp;$A$12&amp;"'!N50")),0)+IFERROR(N(INDIRECT("'"&amp;$A$13&amp;"'!N50")),0)+IFERROR(N(INDIRECT("'"&amp;$A$14&amp;"'!N50")),0)</f>
      </c>
      <c r="E44" s="8">
        <f>IFERROR(N(INDIRECT("'"&amp;$A$5&amp;"'!O50")),0)+IFERROR(N(INDIRECT("'"&amp;$A$6&amp;"'!O50")),0)+IFERROR(N(INDIRECT("'"&amp;$A$7&amp;"'!O50")),0)+IFERROR(N(INDIRECT("'"&amp;$A$8&amp;"'!O50")),0)+IFERROR(N(INDIRECT("'"&amp;$A$9&amp;"'!O50")),0)+IFERROR(N(INDIRECT("'"&amp;$A$10&amp;"'!O50")),0)+IFERROR(N(INDIRECT("'"&amp;$A$11&amp;"'!O50")),0)+IFERROR(N(INDIRECT("'"&amp;$A$12&amp;"'!O50")),0)+IFERROR(N(INDIRECT("'"&amp;$A$13&amp;"'!O50")),0)+IFERROR(N(INDIRECT("'"&amp;$A$14&amp;"'!O50")),0)</f>
      </c>
      <c r="F44" s="8">
        <f>IFERROR(N(INDIRECT("'"&amp;$A$5&amp;"'!P50")),0)+IFERROR(N(INDIRECT("'"&amp;$A$6&amp;"'!P50")),0)+IFERROR(N(INDIRECT("'"&amp;$A$7&amp;"'!P50")),0)+IFERROR(N(INDIRECT("'"&amp;$A$8&amp;"'!P50")),0)+IFERROR(N(INDIRECT("'"&amp;$A$9&amp;"'!P50")),0)+IFERROR(N(INDIRECT("'"&amp;$A$10&amp;"'!P50")),0)+IFERROR(N(INDIRECT("'"&amp;$A$11&amp;"'!P50")),0)+IFERROR(N(INDIRECT("'"&amp;$A$12&amp;"'!P50")),0)+IFERROR(N(INDIRECT("'"&amp;$A$13&amp;"'!P50")),0)+IFERROR(N(INDIRECT("'"&amp;$A$14&amp;"'!P50")),0)</f>
      </c>
      <c r="G44" s="9">
        <f>IF(E44&gt;0,F44/E44,"")</f>
      </c>
      <c r="H44" s="10">
        <f>IF(D44&gt;0,F44-E44,"")</f>
      </c>
    </row>
    <row r="45" spans="1:8" x14ac:dyDescent="0.25">
      <c r="A45" s="5" t="s">
        <v>67</v>
      </c>
      <c r="B45" s="22" t="s">
        <v>68</v>
      </c>
      <c r="C45" s="8">
        <v>499</v>
      </c>
      <c r="D45" s="5">
        <f>IFERROR(N(INDIRECT("'"&amp;$A$5&amp;"'!N51")),0)+IFERROR(N(INDIRECT("'"&amp;$A$6&amp;"'!N51")),0)+IFERROR(N(INDIRECT("'"&amp;$A$7&amp;"'!N51")),0)+IFERROR(N(INDIRECT("'"&amp;$A$8&amp;"'!N51")),0)+IFERROR(N(INDIRECT("'"&amp;$A$9&amp;"'!N51")),0)+IFERROR(N(INDIRECT("'"&amp;$A$10&amp;"'!N51")),0)+IFERROR(N(INDIRECT("'"&amp;$A$11&amp;"'!N51")),0)+IFERROR(N(INDIRECT("'"&amp;$A$12&amp;"'!N51")),0)+IFERROR(N(INDIRECT("'"&amp;$A$13&amp;"'!N51")),0)+IFERROR(N(INDIRECT("'"&amp;$A$14&amp;"'!N51")),0)</f>
      </c>
      <c r="E45" s="8">
        <f>IFERROR(N(INDIRECT("'"&amp;$A$5&amp;"'!O51")),0)+IFERROR(N(INDIRECT("'"&amp;$A$6&amp;"'!O51")),0)+IFERROR(N(INDIRECT("'"&amp;$A$7&amp;"'!O51")),0)+IFERROR(N(INDIRECT("'"&amp;$A$8&amp;"'!O51")),0)+IFERROR(N(INDIRECT("'"&amp;$A$9&amp;"'!O51")),0)+IFERROR(N(INDIRECT("'"&amp;$A$10&amp;"'!O51")),0)+IFERROR(N(INDIRECT("'"&amp;$A$11&amp;"'!O51")),0)+IFERROR(N(INDIRECT("'"&amp;$A$12&amp;"'!O51")),0)+IFERROR(N(INDIRECT("'"&amp;$A$13&amp;"'!O51")),0)+IFERROR(N(INDIRECT("'"&amp;$A$14&amp;"'!O51")),0)</f>
      </c>
      <c r="F45" s="8">
        <f>IFERROR(N(INDIRECT("'"&amp;$A$5&amp;"'!P51")),0)+IFERROR(N(INDIRECT("'"&amp;$A$6&amp;"'!P51")),0)+IFERROR(N(INDIRECT("'"&amp;$A$7&amp;"'!P51")),0)+IFERROR(N(INDIRECT("'"&amp;$A$8&amp;"'!P51")),0)+IFERROR(N(INDIRECT("'"&amp;$A$9&amp;"'!P51")),0)+IFERROR(N(INDIRECT("'"&amp;$A$10&amp;"'!P51")),0)+IFERROR(N(INDIRECT("'"&amp;$A$11&amp;"'!P51")),0)+IFERROR(N(INDIRECT("'"&amp;$A$12&amp;"'!P51")),0)+IFERROR(N(INDIRECT("'"&amp;$A$13&amp;"'!P51")),0)+IFERROR(N(INDIRECT("'"&amp;$A$14&amp;"'!P51")),0)</f>
      </c>
      <c r="G45" s="9">
        <f>IF(E45&gt;0,F45/E45,"")</f>
      </c>
      <c r="H45" s="10">
        <f>IF(D45&gt;0,F45-E45,"")</f>
      </c>
    </row>
    <row r="46" spans="1:8" x14ac:dyDescent="0.25">
      <c r="A46" s="5" t="s">
        <v>67</v>
      </c>
      <c r="B46" s="22" t="s">
        <v>69</v>
      </c>
      <c r="C46" s="8">
        <v>3999</v>
      </c>
      <c r="D46" s="5">
        <f>IFERROR(N(INDIRECT("'"&amp;$A$5&amp;"'!N52")),0)+IFERROR(N(INDIRECT("'"&amp;$A$6&amp;"'!N52")),0)+IFERROR(N(INDIRECT("'"&amp;$A$7&amp;"'!N52")),0)+IFERROR(N(INDIRECT("'"&amp;$A$8&amp;"'!N52")),0)+IFERROR(N(INDIRECT("'"&amp;$A$9&amp;"'!N52")),0)+IFERROR(N(INDIRECT("'"&amp;$A$10&amp;"'!N52")),0)+IFERROR(N(INDIRECT("'"&amp;$A$11&amp;"'!N52")),0)+IFERROR(N(INDIRECT("'"&amp;$A$12&amp;"'!N52")),0)+IFERROR(N(INDIRECT("'"&amp;$A$13&amp;"'!N52")),0)+IFERROR(N(INDIRECT("'"&amp;$A$14&amp;"'!N52")),0)</f>
      </c>
      <c r="E46" s="8">
        <f>IFERROR(N(INDIRECT("'"&amp;$A$5&amp;"'!O52")),0)+IFERROR(N(INDIRECT("'"&amp;$A$6&amp;"'!O52")),0)+IFERROR(N(INDIRECT("'"&amp;$A$7&amp;"'!O52")),0)+IFERROR(N(INDIRECT("'"&amp;$A$8&amp;"'!O52")),0)+IFERROR(N(INDIRECT("'"&amp;$A$9&amp;"'!O52")),0)+IFERROR(N(INDIRECT("'"&amp;$A$10&amp;"'!O52")),0)+IFERROR(N(INDIRECT("'"&amp;$A$11&amp;"'!O52")),0)+IFERROR(N(INDIRECT("'"&amp;$A$12&amp;"'!O52")),0)+IFERROR(N(INDIRECT("'"&amp;$A$13&amp;"'!O52")),0)+IFERROR(N(INDIRECT("'"&amp;$A$14&amp;"'!O52")),0)</f>
      </c>
      <c r="F46" s="8">
        <f>IFERROR(N(INDIRECT("'"&amp;$A$5&amp;"'!P52")),0)+IFERROR(N(INDIRECT("'"&amp;$A$6&amp;"'!P52")),0)+IFERROR(N(INDIRECT("'"&amp;$A$7&amp;"'!P52")),0)+IFERROR(N(INDIRECT("'"&amp;$A$8&amp;"'!P52")),0)+IFERROR(N(INDIRECT("'"&amp;$A$9&amp;"'!P52")),0)+IFERROR(N(INDIRECT("'"&amp;$A$10&amp;"'!P52")),0)+IFERROR(N(INDIRECT("'"&amp;$A$11&amp;"'!P52")),0)+IFERROR(N(INDIRECT("'"&amp;$A$12&amp;"'!P52")),0)+IFERROR(N(INDIRECT("'"&amp;$A$13&amp;"'!P52")),0)+IFERROR(N(INDIRECT("'"&amp;$A$14&amp;"'!P52")),0)</f>
      </c>
      <c r="G46" s="9">
        <f>IF(E46&gt;0,F46/E46,"")</f>
      </c>
      <c r="H46" s="10">
        <f>IF(D46&gt;0,F46-E46,"")</f>
      </c>
    </row>
    <row r="47" spans="1:8" x14ac:dyDescent="0.25">
      <c r="A47" s="5" t="s">
        <v>70</v>
      </c>
      <c r="B47" s="22" t="s">
        <v>71</v>
      </c>
      <c r="C47" s="8">
        <v>149</v>
      </c>
      <c r="D47" s="5">
        <f>IFERROR(N(INDIRECT("'"&amp;$A$5&amp;"'!N53")),0)+IFERROR(N(INDIRECT("'"&amp;$A$6&amp;"'!N53")),0)+IFERROR(N(INDIRECT("'"&amp;$A$7&amp;"'!N53")),0)+IFERROR(N(INDIRECT("'"&amp;$A$8&amp;"'!N53")),0)+IFERROR(N(INDIRECT("'"&amp;$A$9&amp;"'!N53")),0)+IFERROR(N(INDIRECT("'"&amp;$A$10&amp;"'!N53")),0)+IFERROR(N(INDIRECT("'"&amp;$A$11&amp;"'!N53")),0)+IFERROR(N(INDIRECT("'"&amp;$A$12&amp;"'!N53")),0)+IFERROR(N(INDIRECT("'"&amp;$A$13&amp;"'!N53")),0)+IFERROR(N(INDIRECT("'"&amp;$A$14&amp;"'!N53")),0)</f>
      </c>
      <c r="E47" s="8">
        <f>IFERROR(N(INDIRECT("'"&amp;$A$5&amp;"'!O53")),0)+IFERROR(N(INDIRECT("'"&amp;$A$6&amp;"'!O53")),0)+IFERROR(N(INDIRECT("'"&amp;$A$7&amp;"'!O53")),0)+IFERROR(N(INDIRECT("'"&amp;$A$8&amp;"'!O53")),0)+IFERROR(N(INDIRECT("'"&amp;$A$9&amp;"'!O53")),0)+IFERROR(N(INDIRECT("'"&amp;$A$10&amp;"'!O53")),0)+IFERROR(N(INDIRECT("'"&amp;$A$11&amp;"'!O53")),0)+IFERROR(N(INDIRECT("'"&amp;$A$12&amp;"'!O53")),0)+IFERROR(N(INDIRECT("'"&amp;$A$13&amp;"'!O53")),0)+IFERROR(N(INDIRECT("'"&amp;$A$14&amp;"'!O53")),0)</f>
      </c>
      <c r="F47" s="8">
        <f>IFERROR(N(INDIRECT("'"&amp;$A$5&amp;"'!P53")),0)+IFERROR(N(INDIRECT("'"&amp;$A$6&amp;"'!P53")),0)+IFERROR(N(INDIRECT("'"&amp;$A$7&amp;"'!P53")),0)+IFERROR(N(INDIRECT("'"&amp;$A$8&amp;"'!P53")),0)+IFERROR(N(INDIRECT("'"&amp;$A$9&amp;"'!P53")),0)+IFERROR(N(INDIRECT("'"&amp;$A$10&amp;"'!P53")),0)+IFERROR(N(INDIRECT("'"&amp;$A$11&amp;"'!P53")),0)+IFERROR(N(INDIRECT("'"&amp;$A$12&amp;"'!P53")),0)+IFERROR(N(INDIRECT("'"&amp;$A$13&amp;"'!P53")),0)+IFERROR(N(INDIRECT("'"&amp;$A$14&amp;"'!P53")),0)</f>
      </c>
      <c r="G47" s="9">
        <f>IF(E47&gt;0,F47/E47,"")</f>
      </c>
      <c r="H47" s="10">
        <f>IF(D47&gt;0,F47-E47,"")</f>
      </c>
    </row>
    <row r="48" spans="1:8" x14ac:dyDescent="0.25">
      <c r="A48" s="5" t="s">
        <v>70</v>
      </c>
      <c r="B48" s="22" t="s">
        <v>72</v>
      </c>
      <c r="C48" s="8">
        <v>249</v>
      </c>
      <c r="D48" s="5">
        <f>IFERROR(N(INDIRECT("'"&amp;$A$5&amp;"'!N54")),0)+IFERROR(N(INDIRECT("'"&amp;$A$6&amp;"'!N54")),0)+IFERROR(N(INDIRECT("'"&amp;$A$7&amp;"'!N54")),0)+IFERROR(N(INDIRECT("'"&amp;$A$8&amp;"'!N54")),0)+IFERROR(N(INDIRECT("'"&amp;$A$9&amp;"'!N54")),0)+IFERROR(N(INDIRECT("'"&amp;$A$10&amp;"'!N54")),0)+IFERROR(N(INDIRECT("'"&amp;$A$11&amp;"'!N54")),0)+IFERROR(N(INDIRECT("'"&amp;$A$12&amp;"'!N54")),0)+IFERROR(N(INDIRECT("'"&amp;$A$13&amp;"'!N54")),0)+IFERROR(N(INDIRECT("'"&amp;$A$14&amp;"'!N54")),0)</f>
      </c>
      <c r="E48" s="8">
        <f>IFERROR(N(INDIRECT("'"&amp;$A$5&amp;"'!O54")),0)+IFERROR(N(INDIRECT("'"&amp;$A$6&amp;"'!O54")),0)+IFERROR(N(INDIRECT("'"&amp;$A$7&amp;"'!O54")),0)+IFERROR(N(INDIRECT("'"&amp;$A$8&amp;"'!O54")),0)+IFERROR(N(INDIRECT("'"&amp;$A$9&amp;"'!O54")),0)+IFERROR(N(INDIRECT("'"&amp;$A$10&amp;"'!O54")),0)+IFERROR(N(INDIRECT("'"&amp;$A$11&amp;"'!O54")),0)+IFERROR(N(INDIRECT("'"&amp;$A$12&amp;"'!O54")),0)+IFERROR(N(INDIRECT("'"&amp;$A$13&amp;"'!O54")),0)+IFERROR(N(INDIRECT("'"&amp;$A$14&amp;"'!O54")),0)</f>
      </c>
      <c r="F48" s="8">
        <f>IFERROR(N(INDIRECT("'"&amp;$A$5&amp;"'!P54")),0)+IFERROR(N(INDIRECT("'"&amp;$A$6&amp;"'!P54")),0)+IFERROR(N(INDIRECT("'"&amp;$A$7&amp;"'!P54")),0)+IFERROR(N(INDIRECT("'"&amp;$A$8&amp;"'!P54")),0)+IFERROR(N(INDIRECT("'"&amp;$A$9&amp;"'!P54")),0)+IFERROR(N(INDIRECT("'"&amp;$A$10&amp;"'!P54")),0)+IFERROR(N(INDIRECT("'"&amp;$A$11&amp;"'!P54")),0)+IFERROR(N(INDIRECT("'"&amp;$A$12&amp;"'!P54")),0)+IFERROR(N(INDIRECT("'"&amp;$A$13&amp;"'!P54")),0)+IFERROR(N(INDIRECT("'"&amp;$A$14&amp;"'!P54")),0)</f>
      </c>
      <c r="G48" s="9">
        <f>IF(E48&gt;0,F48/E48,"")</f>
      </c>
      <c r="H48" s="10">
        <f>IF(D48&gt;0,F48-E48,"")</f>
      </c>
    </row>
    <row r="49" spans="1:8" x14ac:dyDescent="0.25">
      <c r="A49" s="5" t="s">
        <v>70</v>
      </c>
      <c r="B49" s="22" t="s">
        <v>73</v>
      </c>
      <c r="C49" s="8">
        <v>399</v>
      </c>
      <c r="D49" s="5">
        <f>IFERROR(N(INDIRECT("'"&amp;$A$5&amp;"'!N55")),0)+IFERROR(N(INDIRECT("'"&amp;$A$6&amp;"'!N55")),0)+IFERROR(N(INDIRECT("'"&amp;$A$7&amp;"'!N55")),0)+IFERROR(N(INDIRECT("'"&amp;$A$8&amp;"'!N55")),0)+IFERROR(N(INDIRECT("'"&amp;$A$9&amp;"'!N55")),0)+IFERROR(N(INDIRECT("'"&amp;$A$10&amp;"'!N55")),0)+IFERROR(N(INDIRECT("'"&amp;$A$11&amp;"'!N55")),0)+IFERROR(N(INDIRECT("'"&amp;$A$12&amp;"'!N55")),0)+IFERROR(N(INDIRECT("'"&amp;$A$13&amp;"'!N55")),0)+IFERROR(N(INDIRECT("'"&amp;$A$14&amp;"'!N55")),0)</f>
      </c>
      <c r="E49" s="8">
        <f>IFERROR(N(INDIRECT("'"&amp;$A$5&amp;"'!O55")),0)+IFERROR(N(INDIRECT("'"&amp;$A$6&amp;"'!O55")),0)+IFERROR(N(INDIRECT("'"&amp;$A$7&amp;"'!O55")),0)+IFERROR(N(INDIRECT("'"&amp;$A$8&amp;"'!O55")),0)+IFERROR(N(INDIRECT("'"&amp;$A$9&amp;"'!O55")),0)+IFERROR(N(INDIRECT("'"&amp;$A$10&amp;"'!O55")),0)+IFERROR(N(INDIRECT("'"&amp;$A$11&amp;"'!O55")),0)+IFERROR(N(INDIRECT("'"&amp;$A$12&amp;"'!O55")),0)+IFERROR(N(INDIRECT("'"&amp;$A$13&amp;"'!O55")),0)+IFERROR(N(INDIRECT("'"&amp;$A$14&amp;"'!O55")),0)</f>
      </c>
      <c r="F49" s="8">
        <f>IFERROR(N(INDIRECT("'"&amp;$A$5&amp;"'!P55")),0)+IFERROR(N(INDIRECT("'"&amp;$A$6&amp;"'!P55")),0)+IFERROR(N(INDIRECT("'"&amp;$A$7&amp;"'!P55")),0)+IFERROR(N(INDIRECT("'"&amp;$A$8&amp;"'!P55")),0)+IFERROR(N(INDIRECT("'"&amp;$A$9&amp;"'!P55")),0)+IFERROR(N(INDIRECT("'"&amp;$A$10&amp;"'!P55")),0)+IFERROR(N(INDIRECT("'"&amp;$A$11&amp;"'!P55")),0)+IFERROR(N(INDIRECT("'"&amp;$A$12&amp;"'!P55")),0)+IFERROR(N(INDIRECT("'"&amp;$A$13&amp;"'!P55")),0)+IFERROR(N(INDIRECT("'"&amp;$A$14&amp;"'!P55")),0)</f>
      </c>
      <c r="G49" s="9">
        <f>IF(E49&gt;0,F49/E49,"")</f>
      </c>
      <c r="H49" s="10">
        <f>IF(D49&gt;0,F49-E49,"")</f>
      </c>
    </row>
    <row r="50" spans="1:8" x14ac:dyDescent="0.25">
      <c r="A50" s="5" t="s">
        <v>74</v>
      </c>
      <c r="B50" s="22" t="s">
        <v>75</v>
      </c>
      <c r="C50" s="8">
        <v>249</v>
      </c>
      <c r="D50" s="5">
        <f>IFERROR(N(INDIRECT("'"&amp;$A$5&amp;"'!N56")),0)+IFERROR(N(INDIRECT("'"&amp;$A$6&amp;"'!N56")),0)+IFERROR(N(INDIRECT("'"&amp;$A$7&amp;"'!N56")),0)+IFERROR(N(INDIRECT("'"&amp;$A$8&amp;"'!N56")),0)+IFERROR(N(INDIRECT("'"&amp;$A$9&amp;"'!N56")),0)+IFERROR(N(INDIRECT("'"&amp;$A$10&amp;"'!N56")),0)+IFERROR(N(INDIRECT("'"&amp;$A$11&amp;"'!N56")),0)+IFERROR(N(INDIRECT("'"&amp;$A$12&amp;"'!N56")),0)+IFERROR(N(INDIRECT("'"&amp;$A$13&amp;"'!N56")),0)+IFERROR(N(INDIRECT("'"&amp;$A$14&amp;"'!N56")),0)</f>
      </c>
      <c r="E50" s="8">
        <f>IFERROR(N(INDIRECT("'"&amp;$A$5&amp;"'!O56")),0)+IFERROR(N(INDIRECT("'"&amp;$A$6&amp;"'!O56")),0)+IFERROR(N(INDIRECT("'"&amp;$A$7&amp;"'!O56")),0)+IFERROR(N(INDIRECT("'"&amp;$A$8&amp;"'!O56")),0)+IFERROR(N(INDIRECT("'"&amp;$A$9&amp;"'!O56")),0)+IFERROR(N(INDIRECT("'"&amp;$A$10&amp;"'!O56")),0)+IFERROR(N(INDIRECT("'"&amp;$A$11&amp;"'!O56")),0)+IFERROR(N(INDIRECT("'"&amp;$A$12&amp;"'!O56")),0)+IFERROR(N(INDIRECT("'"&amp;$A$13&amp;"'!O56")),0)+IFERROR(N(INDIRECT("'"&amp;$A$14&amp;"'!O56")),0)</f>
      </c>
      <c r="F50" s="8">
        <f>IFERROR(N(INDIRECT("'"&amp;$A$5&amp;"'!P56")),0)+IFERROR(N(INDIRECT("'"&amp;$A$6&amp;"'!P56")),0)+IFERROR(N(INDIRECT("'"&amp;$A$7&amp;"'!P56")),0)+IFERROR(N(INDIRECT("'"&amp;$A$8&amp;"'!P56")),0)+IFERROR(N(INDIRECT("'"&amp;$A$9&amp;"'!P56")),0)+IFERROR(N(INDIRECT("'"&amp;$A$10&amp;"'!P56")),0)+IFERROR(N(INDIRECT("'"&amp;$A$11&amp;"'!P56")),0)+IFERROR(N(INDIRECT("'"&amp;$A$12&amp;"'!P56")),0)+IFERROR(N(INDIRECT("'"&amp;$A$13&amp;"'!P56")),0)+IFERROR(N(INDIRECT("'"&amp;$A$14&amp;"'!P56")),0)</f>
      </c>
      <c r="G50" s="9">
        <f>IF(E50&gt;0,F50/E50,"")</f>
      </c>
      <c r="H50" s="10">
        <f>IF(D50&gt;0,F50-E50,"")</f>
      </c>
    </row>
    <row r="51" spans="1:8" x14ac:dyDescent="0.25">
      <c r="A51" s="5" t="s">
        <v>76</v>
      </c>
      <c r="B51" s="22" t="s">
        <v>77</v>
      </c>
      <c r="C51" s="8">
        <v>149</v>
      </c>
      <c r="D51" s="5">
        <f>IFERROR(N(INDIRECT("'"&amp;$A$5&amp;"'!N57")),0)+IFERROR(N(INDIRECT("'"&amp;$A$6&amp;"'!N57")),0)+IFERROR(N(INDIRECT("'"&amp;$A$7&amp;"'!N57")),0)+IFERROR(N(INDIRECT("'"&amp;$A$8&amp;"'!N57")),0)+IFERROR(N(INDIRECT("'"&amp;$A$9&amp;"'!N57")),0)+IFERROR(N(INDIRECT("'"&amp;$A$10&amp;"'!N57")),0)+IFERROR(N(INDIRECT("'"&amp;$A$11&amp;"'!N57")),0)+IFERROR(N(INDIRECT("'"&amp;$A$12&amp;"'!N57")),0)+IFERROR(N(INDIRECT("'"&amp;$A$13&amp;"'!N57")),0)+IFERROR(N(INDIRECT("'"&amp;$A$14&amp;"'!N57")),0)</f>
      </c>
      <c r="E51" s="8">
        <f>IFERROR(N(INDIRECT("'"&amp;$A$5&amp;"'!O57")),0)+IFERROR(N(INDIRECT("'"&amp;$A$6&amp;"'!O57")),0)+IFERROR(N(INDIRECT("'"&amp;$A$7&amp;"'!O57")),0)+IFERROR(N(INDIRECT("'"&amp;$A$8&amp;"'!O57")),0)+IFERROR(N(INDIRECT("'"&amp;$A$9&amp;"'!O57")),0)+IFERROR(N(INDIRECT("'"&amp;$A$10&amp;"'!O57")),0)+IFERROR(N(INDIRECT("'"&amp;$A$11&amp;"'!O57")),0)+IFERROR(N(INDIRECT("'"&amp;$A$12&amp;"'!O57")),0)+IFERROR(N(INDIRECT("'"&amp;$A$13&amp;"'!O57")),0)+IFERROR(N(INDIRECT("'"&amp;$A$14&amp;"'!O57")),0)</f>
      </c>
      <c r="F51" s="8">
        <f>IFERROR(N(INDIRECT("'"&amp;$A$5&amp;"'!P57")),0)+IFERROR(N(INDIRECT("'"&amp;$A$6&amp;"'!P57")),0)+IFERROR(N(INDIRECT("'"&amp;$A$7&amp;"'!P57")),0)+IFERROR(N(INDIRECT("'"&amp;$A$8&amp;"'!P57")),0)+IFERROR(N(INDIRECT("'"&amp;$A$9&amp;"'!P57")),0)+IFERROR(N(INDIRECT("'"&amp;$A$10&amp;"'!P57")),0)+IFERROR(N(INDIRECT("'"&amp;$A$11&amp;"'!P57")),0)+IFERROR(N(INDIRECT("'"&amp;$A$12&amp;"'!P57")),0)+IFERROR(N(INDIRECT("'"&amp;$A$13&amp;"'!P57")),0)+IFERROR(N(INDIRECT("'"&amp;$A$14&amp;"'!P57")),0)</f>
      </c>
      <c r="G51" s="9">
        <f>IF(E51&gt;0,F51/E51,"")</f>
      </c>
      <c r="H51" s="10">
        <f>IF(D51&gt;0,F51-E51,"")</f>
      </c>
    </row>
  </sheetData>
  <mergeCells count="6">
    <mergeCell ref="A1:H1"/>
    <mergeCell ref="A17:D17"/>
    <mergeCell ref="A18:D18"/>
    <mergeCell ref="A19:D19"/>
    <mergeCell ref="A20:D20"/>
    <mergeCell ref="A22:H22"/>
  </mergeCells>
  <conditionalFormatting sqref="G24:G51 W5:W15">
    <cfRule type="cellIs" dxfId="0" priority="1" operator="lessThan">
      <formula>1</formula>
    </cfRule>
    <cfRule type="cellIs" dxfId="1" priority="2" operator="greaterThanOrEqual">
      <formula>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C76B"/>
  </sheetPr>
  <dimension ref="A1:S63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46" customWidth="1"/>
    <col min="15" max="18" width="13" customWidth="1"/>
    <col min="19" max="19" width="30" customWidth="1"/>
  </cols>
  <sheetData>
    <row r="1" ht="34" customHeight="1" spans="1:19" x14ac:dyDescent="0.25">
      <c r="A1" s="23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" x14ac:dyDescent="0.25">
      <c r="A2" s="2" t="s">
        <v>79</v>
      </c>
    </row>
    <row r="3" spans="1:8" x14ac:dyDescent="0.25">
      <c r="A3" s="24" t="s">
        <v>80</v>
      </c>
      <c r="B3" s="4"/>
      <c r="C3" s="24" t="s">
        <v>81</v>
      </c>
      <c r="D3" s="25"/>
      <c r="E3" s="24" t="s">
        <v>82</v>
      </c>
      <c r="F3" s="4"/>
      <c r="G3" s="4"/>
      <c r="H3" s="4"/>
    </row>
    <row r="5" spans="1:6" x14ac:dyDescent="0.25">
      <c r="A5" s="20" t="s">
        <v>83</v>
      </c>
      <c r="B5" s="20"/>
      <c r="C5" s="20"/>
      <c r="D5" s="20"/>
      <c r="E5" s="20"/>
      <c r="F5" s="20"/>
    </row>
    <row r="6" spans="1:9" x14ac:dyDescent="0.25">
      <c r="A6" s="26" t="s">
        <v>84</v>
      </c>
      <c r="B6" s="26" t="s">
        <v>85</v>
      </c>
      <c r="C6" s="26" t="s">
        <v>86</v>
      </c>
      <c r="D6" s="26" t="s">
        <v>87</v>
      </c>
      <c r="E6" s="26" t="s">
        <v>88</v>
      </c>
      <c r="F6" s="26"/>
      <c r="G6" s="26"/>
      <c r="H6" s="26"/>
      <c r="I6" s="26"/>
    </row>
    <row r="7" spans="1:9" x14ac:dyDescent="0.25">
      <c r="A7" s="5">
        <v>1</v>
      </c>
      <c r="B7" s="22" t="s">
        <v>4</v>
      </c>
      <c r="C7" s="27" t="s">
        <v>89</v>
      </c>
      <c r="D7" s="28"/>
      <c r="E7" s="4"/>
      <c r="F7" s="4"/>
      <c r="G7" s="4"/>
      <c r="H7" s="4"/>
      <c r="I7" s="4"/>
    </row>
    <row r="8" spans="1:9" x14ac:dyDescent="0.25">
      <c r="A8" s="5">
        <v>2</v>
      </c>
      <c r="B8" s="22" t="s">
        <v>5</v>
      </c>
      <c r="C8" s="27" t="s">
        <v>90</v>
      </c>
      <c r="D8" s="28"/>
      <c r="E8" s="4"/>
      <c r="F8" s="4"/>
      <c r="G8" s="4"/>
      <c r="H8" s="4"/>
      <c r="I8" s="4"/>
    </row>
    <row r="9" spans="1:9" x14ac:dyDescent="0.25">
      <c r="A9" s="5">
        <v>3</v>
      </c>
      <c r="B9" s="22" t="s">
        <v>6</v>
      </c>
      <c r="C9" s="27" t="s">
        <v>91</v>
      </c>
      <c r="D9" s="28"/>
      <c r="E9" s="4"/>
      <c r="F9" s="4"/>
      <c r="G9" s="4"/>
      <c r="H9" s="4"/>
      <c r="I9" s="4"/>
    </row>
    <row r="10" spans="1:9" x14ac:dyDescent="0.25">
      <c r="A10" s="5">
        <v>4</v>
      </c>
      <c r="B10" s="22" t="s">
        <v>7</v>
      </c>
      <c r="C10" s="27" t="s">
        <v>92</v>
      </c>
      <c r="D10" s="28"/>
      <c r="E10" s="4"/>
      <c r="F10" s="4"/>
      <c r="G10" s="4"/>
      <c r="H10" s="4"/>
      <c r="I10" s="4"/>
    </row>
    <row r="11" spans="1:9" x14ac:dyDescent="0.25">
      <c r="A11" s="5">
        <v>5</v>
      </c>
      <c r="B11" s="22" t="s">
        <v>8</v>
      </c>
      <c r="C11" s="27" t="s">
        <v>93</v>
      </c>
      <c r="D11" s="28"/>
      <c r="E11" s="4"/>
      <c r="F11" s="4"/>
      <c r="G11" s="4"/>
      <c r="H11" s="4"/>
      <c r="I11" s="4"/>
    </row>
    <row r="12" spans="1:9" x14ac:dyDescent="0.25">
      <c r="A12" s="5">
        <v>6</v>
      </c>
      <c r="B12" s="22" t="s">
        <v>9</v>
      </c>
      <c r="C12" s="27" t="s">
        <v>94</v>
      </c>
      <c r="D12" s="28"/>
      <c r="E12" s="4"/>
      <c r="F12" s="4"/>
      <c r="G12" s="4"/>
      <c r="H12" s="4"/>
      <c r="I12" s="4"/>
    </row>
    <row r="13" spans="1:9" x14ac:dyDescent="0.25">
      <c r="A13" s="5">
        <v>7</v>
      </c>
      <c r="B13" s="22" t="s">
        <v>10</v>
      </c>
      <c r="C13" s="27" t="s">
        <v>95</v>
      </c>
      <c r="D13" s="28"/>
      <c r="E13" s="4"/>
      <c r="F13" s="4"/>
      <c r="G13" s="4"/>
      <c r="H13" s="4"/>
      <c r="I13" s="4"/>
    </row>
    <row r="14" spans="1:9" x14ac:dyDescent="0.25">
      <c r="A14" s="5">
        <v>8</v>
      </c>
      <c r="B14" s="22" t="s">
        <v>11</v>
      </c>
      <c r="C14" s="27" t="s">
        <v>96</v>
      </c>
      <c r="D14" s="28"/>
      <c r="E14" s="4"/>
      <c r="F14" s="4"/>
      <c r="G14" s="4"/>
      <c r="H14" s="4"/>
      <c r="I14" s="4"/>
    </row>
    <row r="15" spans="1:9" x14ac:dyDescent="0.25">
      <c r="A15" s="5">
        <v>9</v>
      </c>
      <c r="B15" s="22" t="s">
        <v>12</v>
      </c>
      <c r="C15" s="27" t="s">
        <v>97</v>
      </c>
      <c r="D15" s="28"/>
      <c r="E15" s="4"/>
      <c r="F15" s="4"/>
      <c r="G15" s="4"/>
      <c r="H15" s="4"/>
      <c r="I15" s="4"/>
    </row>
    <row r="16" spans="1:9" x14ac:dyDescent="0.25">
      <c r="A16" s="5">
        <v>10</v>
      </c>
      <c r="B16" s="22" t="s">
        <v>13</v>
      </c>
      <c r="C16" s="27" t="s">
        <v>98</v>
      </c>
      <c r="D16" s="28"/>
      <c r="E16" s="4"/>
      <c r="F16" s="4"/>
      <c r="G16" s="4"/>
      <c r="H16" s="4"/>
      <c r="I16" s="4"/>
    </row>
    <row r="17" spans="1:9" x14ac:dyDescent="0.25">
      <c r="A17" s="5">
        <v>11</v>
      </c>
      <c r="B17" s="22" t="s">
        <v>14</v>
      </c>
      <c r="C17" s="27" t="s">
        <v>99</v>
      </c>
      <c r="D17" s="28"/>
      <c r="E17" s="4"/>
      <c r="F17" s="4"/>
      <c r="G17" s="4"/>
      <c r="H17" s="4"/>
      <c r="I17" s="4"/>
    </row>
    <row r="18" spans="1:9" x14ac:dyDescent="0.25">
      <c r="A18" s="5">
        <v>12</v>
      </c>
      <c r="B18" s="22" t="s">
        <v>15</v>
      </c>
      <c r="C18" s="27" t="s">
        <v>100</v>
      </c>
      <c r="D18" s="28"/>
      <c r="E18" s="4"/>
      <c r="F18" s="4"/>
      <c r="G18" s="4"/>
      <c r="H18" s="4"/>
      <c r="I18" s="4"/>
    </row>
    <row r="19" spans="1:9" x14ac:dyDescent="0.25">
      <c r="A19" s="5">
        <v>13</v>
      </c>
      <c r="B19" s="22" t="s">
        <v>16</v>
      </c>
      <c r="C19" s="27" t="s">
        <v>101</v>
      </c>
      <c r="D19" s="28"/>
      <c r="E19" s="4"/>
      <c r="F19" s="4"/>
      <c r="G19" s="4"/>
      <c r="H19" s="4"/>
      <c r="I19" s="4"/>
    </row>
    <row r="20" spans="1:9" x14ac:dyDescent="0.25">
      <c r="A20" s="5">
        <v>14</v>
      </c>
      <c r="B20" s="22" t="s">
        <v>17</v>
      </c>
      <c r="C20" s="27" t="s">
        <v>102</v>
      </c>
      <c r="D20" s="28"/>
      <c r="E20" s="4"/>
      <c r="F20" s="4"/>
      <c r="G20" s="4"/>
      <c r="H20" s="4"/>
      <c r="I20" s="4"/>
    </row>
    <row r="21" spans="1:9" x14ac:dyDescent="0.25">
      <c r="A21" s="5">
        <v>15</v>
      </c>
      <c r="B21" s="22" t="s">
        <v>18</v>
      </c>
      <c r="C21" s="27" t="s">
        <v>103</v>
      </c>
      <c r="D21" s="28"/>
      <c r="E21" s="4"/>
      <c r="F21" s="4"/>
      <c r="G21" s="4"/>
      <c r="H21" s="4"/>
      <c r="I21" s="4"/>
    </row>
    <row r="22" spans="1:9" x14ac:dyDescent="0.25">
      <c r="A22" s="5">
        <v>16</v>
      </c>
      <c r="B22" s="22" t="s">
        <v>19</v>
      </c>
      <c r="C22" s="27" t="s">
        <v>104</v>
      </c>
      <c r="D22" s="28"/>
      <c r="E22" s="4"/>
      <c r="F22" s="4"/>
      <c r="G22" s="4"/>
      <c r="H22" s="4"/>
      <c r="I22" s="4"/>
    </row>
    <row r="24" spans="2:4" x14ac:dyDescent="0.25">
      <c r="B24" s="29" t="s">
        <v>105</v>
      </c>
      <c r="C24" s="30">
        <f>IF(D24="","",IF(D24&gt;=9,"Отлично",IF(D24&gt;=7,"Хорошо",IF(D24&gt;=5,"Средне","Плохо"))))</f>
      </c>
      <c r="D24" s="31">
        <f>IF(COUNT(D7:D22)=0,"",ROUND(AVERAGE(D7:D22),1))</f>
      </c>
    </row>
    <row r="25" spans="2:4" x14ac:dyDescent="0.25">
      <c r="B25" t="s">
        <v>106</v>
      </c>
      <c r="D25" s="32">
        <f>COUNT(D7:D22)&amp;" из 16"</f>
      </c>
    </row>
    <row r="28" spans="1:19" x14ac:dyDescent="0.25">
      <c r="A28" s="20" t="s">
        <v>107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30" customHeight="1" spans="1:19" x14ac:dyDescent="0.25">
      <c r="A29" s="33" t="s">
        <v>37</v>
      </c>
      <c r="B29" s="33" t="s">
        <v>38</v>
      </c>
      <c r="C29" s="33" t="s">
        <v>108</v>
      </c>
      <c r="D29" s="33" t="s">
        <v>109</v>
      </c>
      <c r="E29" s="33" t="s">
        <v>110</v>
      </c>
      <c r="F29" s="33" t="s">
        <v>111</v>
      </c>
      <c r="G29" s="33" t="s">
        <v>112</v>
      </c>
      <c r="H29" s="33" t="s">
        <v>113</v>
      </c>
      <c r="I29" s="33" t="s">
        <v>114</v>
      </c>
      <c r="J29" s="33" t="s">
        <v>115</v>
      </c>
      <c r="K29" s="33" t="s">
        <v>116</v>
      </c>
      <c r="L29" s="33" t="s">
        <v>117</v>
      </c>
      <c r="M29" s="33" t="s">
        <v>118</v>
      </c>
      <c r="N29" s="33" t="s">
        <v>40</v>
      </c>
      <c r="O29" s="33" t="s">
        <v>22</v>
      </c>
      <c r="P29" s="33" t="s">
        <v>23</v>
      </c>
      <c r="Q29" s="33" t="s">
        <v>24</v>
      </c>
      <c r="R29" s="33" t="s">
        <v>25</v>
      </c>
      <c r="S29" s="33" t="s">
        <v>88</v>
      </c>
    </row>
    <row r="30" spans="1:19" x14ac:dyDescent="0.25">
      <c r="A30" s="27" t="s">
        <v>41</v>
      </c>
      <c r="B30" s="22" t="s">
        <v>42</v>
      </c>
      <c r="C30" s="8">
        <v>29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5">
        <f>COUNT(D30:M30)</f>
      </c>
      <c r="O30" s="8">
        <f>C30*N30</f>
      </c>
      <c r="P30" s="8">
        <f>SUM(D30:M30)</f>
      </c>
      <c r="Q30" s="9">
        <f>IF(O30&gt;0,P30/O30,"")</f>
      </c>
      <c r="R30" s="10">
        <f>IF(N30&gt;0,P30-O30,"")</f>
      </c>
      <c r="S30" s="4"/>
    </row>
    <row r="31" spans="1:19" x14ac:dyDescent="0.25">
      <c r="A31" s="27" t="s">
        <v>41</v>
      </c>
      <c r="B31" s="22" t="s">
        <v>43</v>
      </c>
      <c r="C31" s="8">
        <v>379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5">
        <f>COUNT(D31:M31)</f>
      </c>
      <c r="O31" s="8">
        <f>C31*N31</f>
      </c>
      <c r="P31" s="8">
        <f>SUM(D31:M31)</f>
      </c>
      <c r="Q31" s="9">
        <f>IF(O31&gt;0,P31/O31,"")</f>
      </c>
      <c r="R31" s="10">
        <f>IF(N31&gt;0,P31-O31,"")</f>
      </c>
      <c r="S31" s="4"/>
    </row>
    <row r="32" spans="1:19" x14ac:dyDescent="0.25">
      <c r="A32" s="27" t="s">
        <v>41</v>
      </c>
      <c r="B32" s="22" t="s">
        <v>44</v>
      </c>
      <c r="C32" s="8">
        <v>819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5">
        <f>COUNT(D32:M32)</f>
      </c>
      <c r="O32" s="8">
        <f>C32*N32</f>
      </c>
      <c r="P32" s="8">
        <f>SUM(D32:M32)</f>
      </c>
      <c r="Q32" s="9">
        <f>IF(O32&gt;0,P32/O32,"")</f>
      </c>
      <c r="R32" s="10">
        <f>IF(N32&gt;0,P32-O32,"")</f>
      </c>
      <c r="S32" s="4"/>
    </row>
    <row r="33" spans="1:19" x14ac:dyDescent="0.25">
      <c r="A33" s="27" t="s">
        <v>41</v>
      </c>
      <c r="B33" s="22" t="s">
        <v>45</v>
      </c>
      <c r="C33" s="8">
        <v>169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5">
        <f>COUNT(D33:M33)</f>
      </c>
      <c r="O33" s="8">
        <f>C33*N33</f>
      </c>
      <c r="P33" s="8">
        <f>SUM(D33:M33)</f>
      </c>
      <c r="Q33" s="9">
        <f>IF(O33&gt;0,P33/O33,"")</f>
      </c>
      <c r="R33" s="10">
        <f>IF(N33&gt;0,P33-O33,"")</f>
      </c>
      <c r="S33" s="4"/>
    </row>
    <row r="34" spans="1:19" x14ac:dyDescent="0.25">
      <c r="A34" s="27" t="s">
        <v>41</v>
      </c>
      <c r="B34" s="22" t="s">
        <v>46</v>
      </c>
      <c r="C34" s="8">
        <v>59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5">
        <f>COUNT(D34:M34)</f>
      </c>
      <c r="O34" s="8">
        <f>C34*N34</f>
      </c>
      <c r="P34" s="8">
        <f>SUM(D34:M34)</f>
      </c>
      <c r="Q34" s="9">
        <f>IF(O34&gt;0,P34/O34,"")</f>
      </c>
      <c r="R34" s="10">
        <f>IF(N34&gt;0,P34-O34,"")</f>
      </c>
      <c r="S34" s="4"/>
    </row>
    <row r="35" spans="1:19" x14ac:dyDescent="0.25">
      <c r="A35" s="27" t="s">
        <v>41</v>
      </c>
      <c r="B35" s="22" t="s">
        <v>47</v>
      </c>
      <c r="C35" s="8">
        <v>199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5">
        <f>COUNT(D35:M35)</f>
      </c>
      <c r="O35" s="8">
        <f>C35*N35</f>
      </c>
      <c r="P35" s="8">
        <f>SUM(D35:M35)</f>
      </c>
      <c r="Q35" s="9">
        <f>IF(O35&gt;0,P35/O35,"")</f>
      </c>
      <c r="R35" s="10">
        <f>IF(N35&gt;0,P35-O35,"")</f>
      </c>
      <c r="S35" s="4"/>
    </row>
    <row r="36" spans="1:19" x14ac:dyDescent="0.25">
      <c r="A36" s="27" t="s">
        <v>48</v>
      </c>
      <c r="B36" s="22" t="s">
        <v>49</v>
      </c>
      <c r="C36" s="8">
        <v>169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5">
        <f>COUNT(D36:M36)</f>
      </c>
      <c r="O36" s="8">
        <f>C36*N36</f>
      </c>
      <c r="P36" s="8">
        <f>SUM(D36:M36)</f>
      </c>
      <c r="Q36" s="9">
        <f>IF(O36&gt;0,P36/O36,"")</f>
      </c>
      <c r="R36" s="10">
        <f>IF(N36&gt;0,P36-O36,"")</f>
      </c>
      <c r="S36" s="4"/>
    </row>
    <row r="37" spans="1:19" x14ac:dyDescent="0.25">
      <c r="A37" s="27" t="s">
        <v>48</v>
      </c>
      <c r="B37" s="22" t="s">
        <v>50</v>
      </c>
      <c r="C37" s="8">
        <v>245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5">
        <f>COUNT(D37:M37)</f>
      </c>
      <c r="O37" s="8">
        <f>C37*N37</f>
      </c>
      <c r="P37" s="8">
        <f>SUM(D37:M37)</f>
      </c>
      <c r="Q37" s="9">
        <f>IF(O37&gt;0,P37/O37,"")</f>
      </c>
      <c r="R37" s="10">
        <f>IF(N37&gt;0,P37-O37,"")</f>
      </c>
      <c r="S37" s="4"/>
    </row>
    <row r="38" spans="1:19" x14ac:dyDescent="0.25">
      <c r="A38" s="27" t="s">
        <v>48</v>
      </c>
      <c r="B38" s="22" t="s">
        <v>51</v>
      </c>
      <c r="C38" s="8">
        <v>322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5">
        <f>COUNT(D38:M38)</f>
      </c>
      <c r="O38" s="8">
        <f>C38*N38</f>
      </c>
      <c r="P38" s="8">
        <f>SUM(D38:M38)</f>
      </c>
      <c r="Q38" s="9">
        <f>IF(O38&gt;0,P38/O38,"")</f>
      </c>
      <c r="R38" s="10">
        <f>IF(N38&gt;0,P38-O38,"")</f>
      </c>
      <c r="S38" s="4"/>
    </row>
    <row r="39" spans="1:19" x14ac:dyDescent="0.25">
      <c r="A39" s="27" t="s">
        <v>48</v>
      </c>
      <c r="B39" s="22" t="s">
        <v>52</v>
      </c>
      <c r="C39" s="8">
        <v>666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5">
        <f>COUNT(D39:M39)</f>
      </c>
      <c r="O39" s="8">
        <f>C39*N39</f>
      </c>
      <c r="P39" s="8">
        <f>SUM(D39:M39)</f>
      </c>
      <c r="Q39" s="9">
        <f>IF(O39&gt;0,P39/O39,"")</f>
      </c>
      <c r="R39" s="10">
        <f>IF(N39&gt;0,P39-O39,"")</f>
      </c>
      <c r="S39" s="4"/>
    </row>
    <row r="40" spans="1:19" x14ac:dyDescent="0.25">
      <c r="A40" s="27" t="s">
        <v>53</v>
      </c>
      <c r="B40" s="22" t="s">
        <v>54</v>
      </c>
      <c r="C40" s="8">
        <v>249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5">
        <f>COUNT(D40:M40)</f>
      </c>
      <c r="O40" s="8">
        <f>C40*N40</f>
      </c>
      <c r="P40" s="8">
        <f>SUM(D40:M40)</f>
      </c>
      <c r="Q40" s="9">
        <f>IF(O40&gt;0,P40/O40,"")</f>
      </c>
      <c r="R40" s="10">
        <f>IF(N40&gt;0,P40-O40,"")</f>
      </c>
      <c r="S40" s="4"/>
    </row>
    <row r="41" spans="1:19" x14ac:dyDescent="0.25">
      <c r="A41" s="27" t="s">
        <v>53</v>
      </c>
      <c r="B41" s="22" t="s">
        <v>55</v>
      </c>
      <c r="C41" s="8">
        <v>299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5">
        <f>COUNT(D41:M41)</f>
      </c>
      <c r="O41" s="8">
        <f>C41*N41</f>
      </c>
      <c r="P41" s="8">
        <f>SUM(D41:M41)</f>
      </c>
      <c r="Q41" s="9">
        <f>IF(O41&gt;0,P41/O41,"")</f>
      </c>
      <c r="R41" s="10">
        <f>IF(N41&gt;0,P41-O41,"")</f>
      </c>
      <c r="S41" s="4"/>
    </row>
    <row r="42" spans="1:19" x14ac:dyDescent="0.25">
      <c r="A42" s="27" t="s">
        <v>53</v>
      </c>
      <c r="B42" s="22" t="s">
        <v>56</v>
      </c>
      <c r="C42" s="8">
        <v>299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5">
        <f>COUNT(D42:M42)</f>
      </c>
      <c r="O42" s="8">
        <f>C42*N42</f>
      </c>
      <c r="P42" s="8">
        <f>SUM(D42:M42)</f>
      </c>
      <c r="Q42" s="9">
        <f>IF(O42&gt;0,P42/O42,"")</f>
      </c>
      <c r="R42" s="10">
        <f>IF(N42&gt;0,P42-O42,"")</f>
      </c>
      <c r="S42" s="4"/>
    </row>
    <row r="43" spans="1:19" x14ac:dyDescent="0.25">
      <c r="A43" s="27" t="s">
        <v>53</v>
      </c>
      <c r="B43" s="22" t="s">
        <v>57</v>
      </c>
      <c r="C43" s="8">
        <v>349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">
        <f>COUNT(D43:M43)</f>
      </c>
      <c r="O43" s="8">
        <f>C43*N43</f>
      </c>
      <c r="P43" s="8">
        <f>SUM(D43:M43)</f>
      </c>
      <c r="Q43" s="9">
        <f>IF(O43&gt;0,P43/O43,"")</f>
      </c>
      <c r="R43" s="10">
        <f>IF(N43&gt;0,P43-O43,"")</f>
      </c>
      <c r="S43" s="4"/>
    </row>
    <row r="44" spans="1:19" x14ac:dyDescent="0.25">
      <c r="A44" s="27" t="s">
        <v>53</v>
      </c>
      <c r="B44" s="22" t="s">
        <v>58</v>
      </c>
      <c r="C44" s="8">
        <v>349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5">
        <f>COUNT(D44:M44)</f>
      </c>
      <c r="O44" s="8">
        <f>C44*N44</f>
      </c>
      <c r="P44" s="8">
        <f>SUM(D44:M44)</f>
      </c>
      <c r="Q44" s="9">
        <f>IF(O44&gt;0,P44/O44,"")</f>
      </c>
      <c r="R44" s="10">
        <f>IF(N44&gt;0,P44-O44,"")</f>
      </c>
      <c r="S44" s="4"/>
    </row>
    <row r="45" spans="1:19" x14ac:dyDescent="0.25">
      <c r="A45" s="27" t="s">
        <v>53</v>
      </c>
      <c r="B45" s="22" t="s">
        <v>59</v>
      </c>
      <c r="C45" s="8">
        <v>499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5">
        <f>COUNT(D45:M45)</f>
      </c>
      <c r="O45" s="8">
        <f>C45*N45</f>
      </c>
      <c r="P45" s="8">
        <f>SUM(D45:M45)</f>
      </c>
      <c r="Q45" s="9">
        <f>IF(O45&gt;0,P45/O45,"")</f>
      </c>
      <c r="R45" s="10">
        <f>IF(N45&gt;0,P45-O45,"")</f>
      </c>
      <c r="S45" s="4"/>
    </row>
    <row r="46" spans="1:19" x14ac:dyDescent="0.25">
      <c r="A46" s="27" t="s">
        <v>60</v>
      </c>
      <c r="B46" s="22" t="s">
        <v>61</v>
      </c>
      <c r="C46" s="8">
        <v>15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5">
        <f>COUNT(D46:M46)</f>
      </c>
      <c r="O46" s="8">
        <f>C46*N46</f>
      </c>
      <c r="P46" s="8">
        <f>SUM(D46:M46)</f>
      </c>
      <c r="Q46" s="9">
        <f>IF(O46&gt;0,P46/O46,"")</f>
      </c>
      <c r="R46" s="10">
        <f>IF(N46&gt;0,P46-O46,"")</f>
      </c>
      <c r="S46" s="4"/>
    </row>
    <row r="47" spans="1:19" x14ac:dyDescent="0.25">
      <c r="A47" s="27" t="s">
        <v>60</v>
      </c>
      <c r="B47" s="22" t="s">
        <v>62</v>
      </c>
      <c r="C47" s="8">
        <v>60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5">
        <f>COUNT(D47:M47)</f>
      </c>
      <c r="O47" s="8">
        <f>C47*N47</f>
      </c>
      <c r="P47" s="8">
        <f>SUM(D47:M47)</f>
      </c>
      <c r="Q47" s="9">
        <f>IF(O47&gt;0,P47/O47,"")</f>
      </c>
      <c r="R47" s="10">
        <f>IF(N47&gt;0,P47-O47,"")</f>
      </c>
      <c r="S47" s="4"/>
    </row>
    <row r="48" spans="1:19" x14ac:dyDescent="0.25">
      <c r="A48" s="27" t="s">
        <v>63</v>
      </c>
      <c r="B48" s="22" t="s">
        <v>64</v>
      </c>
      <c r="C48" s="8">
        <v>3549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5">
        <f>COUNT(D48:M48)</f>
      </c>
      <c r="O48" s="8">
        <f>C48*N48</f>
      </c>
      <c r="P48" s="8">
        <f>SUM(D48:M48)</f>
      </c>
      <c r="Q48" s="9">
        <f>IF(O48&gt;0,P48/O48,"")</f>
      </c>
      <c r="R48" s="10">
        <f>IF(N48&gt;0,P48-O48,"")</f>
      </c>
      <c r="S48" s="4"/>
    </row>
    <row r="49" spans="1:19" x14ac:dyDescent="0.25">
      <c r="A49" s="27" t="s">
        <v>63</v>
      </c>
      <c r="B49" s="22" t="s">
        <v>65</v>
      </c>
      <c r="C49" s="8">
        <v>39999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5">
        <f>COUNT(D49:M49)</f>
      </c>
      <c r="O49" s="8">
        <f>C49*N49</f>
      </c>
      <c r="P49" s="8">
        <f>SUM(D49:M49)</f>
      </c>
      <c r="Q49" s="9">
        <f>IF(O49&gt;0,P49/O49,"")</f>
      </c>
      <c r="R49" s="10">
        <f>IF(N49&gt;0,P49-O49,"")</f>
      </c>
      <c r="S49" s="4"/>
    </row>
    <row r="50" spans="1:19" x14ac:dyDescent="0.25">
      <c r="A50" s="27" t="s">
        <v>63</v>
      </c>
      <c r="B50" s="22" t="s">
        <v>66</v>
      </c>
      <c r="C50" s="8">
        <v>89999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5">
        <f>COUNT(D50:M50)</f>
      </c>
      <c r="O50" s="8">
        <f>C50*N50</f>
      </c>
      <c r="P50" s="8">
        <f>SUM(D50:M50)</f>
      </c>
      <c r="Q50" s="9">
        <f>IF(O50&gt;0,P50/O50,"")</f>
      </c>
      <c r="R50" s="10">
        <f>IF(N50&gt;0,P50-O50,"")</f>
      </c>
      <c r="S50" s="4"/>
    </row>
    <row r="51" spans="1:19" x14ac:dyDescent="0.25">
      <c r="A51" s="27" t="s">
        <v>67</v>
      </c>
      <c r="B51" s="22" t="s">
        <v>68</v>
      </c>
      <c r="C51" s="8">
        <v>499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5">
        <f>COUNT(D51:M51)</f>
      </c>
      <c r="O51" s="8">
        <f>C51*N51</f>
      </c>
      <c r="P51" s="8">
        <f>SUM(D51:M51)</f>
      </c>
      <c r="Q51" s="9">
        <f>IF(O51&gt;0,P51/O51,"")</f>
      </c>
      <c r="R51" s="10">
        <f>IF(N51&gt;0,P51-O51,"")</f>
      </c>
      <c r="S51" s="4"/>
    </row>
    <row r="52" spans="1:19" x14ac:dyDescent="0.25">
      <c r="A52" s="27" t="s">
        <v>67</v>
      </c>
      <c r="B52" s="22" t="s">
        <v>69</v>
      </c>
      <c r="C52" s="8">
        <v>3999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5">
        <f>COUNT(D52:M52)</f>
      </c>
      <c r="O52" s="8">
        <f>C52*N52</f>
      </c>
      <c r="P52" s="8">
        <f>SUM(D52:M52)</f>
      </c>
      <c r="Q52" s="9">
        <f>IF(O52&gt;0,P52/O52,"")</f>
      </c>
      <c r="R52" s="10">
        <f>IF(N52&gt;0,P52-O52,"")</f>
      </c>
      <c r="S52" s="4"/>
    </row>
    <row r="53" spans="1:19" x14ac:dyDescent="0.25">
      <c r="A53" s="27" t="s">
        <v>70</v>
      </c>
      <c r="B53" s="22" t="s">
        <v>71</v>
      </c>
      <c r="C53" s="8">
        <v>149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5">
        <f>COUNT(D53:M53)</f>
      </c>
      <c r="O53" s="8">
        <f>C53*N53</f>
      </c>
      <c r="P53" s="8">
        <f>SUM(D53:M53)</f>
      </c>
      <c r="Q53" s="9">
        <f>IF(O53&gt;0,P53/O53,"")</f>
      </c>
      <c r="R53" s="10">
        <f>IF(N53&gt;0,P53-O53,"")</f>
      </c>
      <c r="S53" s="4"/>
    </row>
    <row r="54" spans="1:19" x14ac:dyDescent="0.25">
      <c r="A54" s="27" t="s">
        <v>70</v>
      </c>
      <c r="B54" s="22" t="s">
        <v>72</v>
      </c>
      <c r="C54" s="8">
        <v>249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5">
        <f>COUNT(D54:M54)</f>
      </c>
      <c r="O54" s="8">
        <f>C54*N54</f>
      </c>
      <c r="P54" s="8">
        <f>SUM(D54:M54)</f>
      </c>
      <c r="Q54" s="9">
        <f>IF(O54&gt;0,P54/O54,"")</f>
      </c>
      <c r="R54" s="10">
        <f>IF(N54&gt;0,P54-O54,"")</f>
      </c>
      <c r="S54" s="4"/>
    </row>
    <row r="55" spans="1:19" x14ac:dyDescent="0.25">
      <c r="A55" s="27" t="s">
        <v>70</v>
      </c>
      <c r="B55" s="22" t="s">
        <v>73</v>
      </c>
      <c r="C55" s="8">
        <v>399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5">
        <f>COUNT(D55:M55)</f>
      </c>
      <c r="O55" s="8">
        <f>C55*N55</f>
      </c>
      <c r="P55" s="8">
        <f>SUM(D55:M55)</f>
      </c>
      <c r="Q55" s="9">
        <f>IF(O55&gt;0,P55/O55,"")</f>
      </c>
      <c r="R55" s="10">
        <f>IF(N55&gt;0,P55-O55,"")</f>
      </c>
      <c r="S55" s="4"/>
    </row>
    <row r="56" spans="1:19" x14ac:dyDescent="0.25">
      <c r="A56" s="27" t="s">
        <v>74</v>
      </c>
      <c r="B56" s="22" t="s">
        <v>75</v>
      </c>
      <c r="C56" s="8">
        <v>249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5">
        <f>COUNT(D56:M56)</f>
      </c>
      <c r="O56" s="8">
        <f>C56*N56</f>
      </c>
      <c r="P56" s="8">
        <f>SUM(D56:M56)</f>
      </c>
      <c r="Q56" s="9">
        <f>IF(O56&gt;0,P56/O56,"")</f>
      </c>
      <c r="R56" s="10">
        <f>IF(N56&gt;0,P56-O56,"")</f>
      </c>
      <c r="S56" s="4"/>
    </row>
    <row r="57" spans="1:19" x14ac:dyDescent="0.25">
      <c r="A57" s="27" t="s">
        <v>76</v>
      </c>
      <c r="B57" s="22" t="s">
        <v>77</v>
      </c>
      <c r="C57" s="8">
        <v>149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5">
        <f>COUNT(D57:M57)</f>
      </c>
      <c r="O57" s="8">
        <f>C57*N57</f>
      </c>
      <c r="P57" s="8">
        <f>SUM(D57:M57)</f>
      </c>
      <c r="Q57" s="9">
        <f>IF(O57&gt;0,P57/O57,"")</f>
      </c>
      <c r="R57" s="10">
        <f>IF(N57&gt;0,P57-O57,"")</f>
      </c>
      <c r="S57" s="4"/>
    </row>
    <row r="58" spans="1:19" x14ac:dyDescent="0.25">
      <c r="A58" s="11"/>
      <c r="B58" s="11" t="s">
        <v>119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>
        <f>SUM(N30:N57)</f>
      </c>
      <c r="O58" s="13">
        <f>SUM(O30:O57)</f>
      </c>
      <c r="P58" s="13">
        <f>SUM(P30:P57)</f>
      </c>
      <c r="Q58" s="14">
        <f>IF(O58&gt;0,P58/O58,"")</f>
      </c>
      <c r="R58" s="15">
        <f>P58-O58</f>
      </c>
      <c r="S58" s="11"/>
    </row>
    <row r="60" spans="2:5" x14ac:dyDescent="0.25">
      <c r="B60" s="35" t="s">
        <v>120</v>
      </c>
      <c r="C60" s="35"/>
      <c r="D60" s="36">
        <f>IF(O58&gt;0,P58/O58,"")</f>
      </c>
      <c r="E60" s="36"/>
    </row>
    <row r="61" spans="2:5" x14ac:dyDescent="0.25">
      <c r="B61" s="35" t="s">
        <v>121</v>
      </c>
      <c r="C61" s="35"/>
      <c r="D61" s="37">
        <f>MAX(0,O58-P58)</f>
      </c>
      <c r="E61" s="37"/>
    </row>
    <row r="62" spans="2:5" x14ac:dyDescent="0.25">
      <c r="B62" s="35" t="s">
        <v>122</v>
      </c>
      <c r="C62" s="35"/>
      <c r="D62" s="36">
        <f>IF(O58&gt;0,MAX(0,1-P58/O58),"")</f>
      </c>
      <c r="E62" s="36"/>
    </row>
    <row r="63" spans="2:5" x14ac:dyDescent="0.25">
      <c r="B63" s="35" t="s">
        <v>123</v>
      </c>
      <c r="C63" s="35"/>
      <c r="D63" s="37">
        <f>MAX(0,P58-O58)</f>
      </c>
      <c r="E63" s="37"/>
    </row>
  </sheetData>
  <mergeCells count="29">
    <mergeCell ref="A1:S1"/>
    <mergeCell ref="F3:H3"/>
    <mergeCell ref="A5:F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A28:S28"/>
    <mergeCell ref="B60:C60"/>
    <mergeCell ref="D60:E60"/>
    <mergeCell ref="B61:C61"/>
    <mergeCell ref="D61:E61"/>
    <mergeCell ref="B62:C62"/>
    <mergeCell ref="D62:E62"/>
    <mergeCell ref="B63:C63"/>
    <mergeCell ref="D63:E63"/>
  </mergeCells>
  <conditionalFormatting sqref="Q30:Q58">
    <cfRule type="cellIs" dxfId="2" priority="1" operator="lessThan">
      <formula>1</formula>
    </cfRule>
    <cfRule type="cellIs" dxfId="3" priority="2" operator="greaterThanOrEqual">
      <formula>1</formula>
    </cfRule>
  </conditionalFormatting>
  <conditionalFormatting sqref="R30:R58">
    <cfRule type="cellIs" dxfId="4" priority="3" operator="lessThan">
      <formula>0</formula>
    </cfRule>
    <cfRule type="cellIs" dxfId="5" priority="4" operator="greaterThan">
      <formula>0</formula>
    </cfRule>
  </conditionalFormatting>
  <dataValidations count="4">
    <dataValidation type="decimal" allowBlank="1" showErrorMessage="1" errorTitle="Оценка от 0 до 10" error="Введите число от 0 до 10" sqref="D10:D22">
      <formula1>0</formula1>
      <formula2>10</formula2>
    </dataValidation>
    <dataValidation type="decimal" operator="greaterThanOrEqual" allowBlank="1" showErrorMessage="1" error="Стоимость дропа — число, ₽" sqref="D30:M57">
      <formula1>0</formula1>
    </dataValidation>
    <dataValidation type="decimal" allowBlank="1" showErrorMessage="1" errorTitle="Оценка от 0 до 10" error="Введите число от 0 до 10" sqref="D7:D22">
      <formula1>0</formula1>
      <formula2>10</formula2>
    </dataValidation>
    <dataValidation type="list" allowBlank="1" sqref="F3">
      <formula1>"Компьютер,Телефон,Планшет"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C76B"/>
  </sheetPr>
  <dimension ref="A1:S63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46" customWidth="1"/>
    <col min="15" max="18" width="13" customWidth="1"/>
    <col min="19" max="19" width="30" customWidth="1"/>
  </cols>
  <sheetData>
    <row r="1" ht="34" customHeight="1" spans="1:19" x14ac:dyDescent="0.25">
      <c r="A1" s="23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" x14ac:dyDescent="0.25">
      <c r="A2" s="2" t="s">
        <v>79</v>
      </c>
    </row>
    <row r="3" spans="1:8" x14ac:dyDescent="0.25">
      <c r="A3" s="24" t="s">
        <v>80</v>
      </c>
      <c r="B3" s="4"/>
      <c r="C3" s="24" t="s">
        <v>81</v>
      </c>
      <c r="D3" s="25"/>
      <c r="E3" s="24" t="s">
        <v>82</v>
      </c>
      <c r="F3" s="4"/>
      <c r="G3" s="4"/>
      <c r="H3" s="4"/>
    </row>
    <row r="5" spans="1:6" x14ac:dyDescent="0.25">
      <c r="A5" s="20" t="s">
        <v>83</v>
      </c>
      <c r="B5" s="20"/>
      <c r="C5" s="20"/>
      <c r="D5" s="20"/>
      <c r="E5" s="20"/>
      <c r="F5" s="20"/>
    </row>
    <row r="6" spans="1:9" x14ac:dyDescent="0.25">
      <c r="A6" s="26" t="s">
        <v>84</v>
      </c>
      <c r="B6" s="26" t="s">
        <v>85</v>
      </c>
      <c r="C6" s="26" t="s">
        <v>86</v>
      </c>
      <c r="D6" s="26" t="s">
        <v>87</v>
      </c>
      <c r="E6" s="26" t="s">
        <v>88</v>
      </c>
      <c r="F6" s="26"/>
      <c r="G6" s="26"/>
      <c r="H6" s="26"/>
      <c r="I6" s="26"/>
    </row>
    <row r="7" spans="1:9" x14ac:dyDescent="0.25">
      <c r="A7" s="5">
        <v>1</v>
      </c>
      <c r="B7" s="22" t="s">
        <v>4</v>
      </c>
      <c r="C7" s="27" t="s">
        <v>89</v>
      </c>
      <c r="D7" s="28"/>
      <c r="E7" s="4"/>
      <c r="F7" s="4"/>
      <c r="G7" s="4"/>
      <c r="H7" s="4"/>
      <c r="I7" s="4"/>
    </row>
    <row r="8" spans="1:9" x14ac:dyDescent="0.25">
      <c r="A8" s="5">
        <v>2</v>
      </c>
      <c r="B8" s="22" t="s">
        <v>5</v>
      </c>
      <c r="C8" s="27" t="s">
        <v>90</v>
      </c>
      <c r="D8" s="28"/>
      <c r="E8" s="4"/>
      <c r="F8" s="4"/>
      <c r="G8" s="4"/>
      <c r="H8" s="4"/>
      <c r="I8" s="4"/>
    </row>
    <row r="9" spans="1:9" x14ac:dyDescent="0.25">
      <c r="A9" s="5">
        <v>3</v>
      </c>
      <c r="B9" s="22" t="s">
        <v>6</v>
      </c>
      <c r="C9" s="27" t="s">
        <v>91</v>
      </c>
      <c r="D9" s="28"/>
      <c r="E9" s="4"/>
      <c r="F9" s="4"/>
      <c r="G9" s="4"/>
      <c r="H9" s="4"/>
      <c r="I9" s="4"/>
    </row>
    <row r="10" spans="1:9" x14ac:dyDescent="0.25">
      <c r="A10" s="5">
        <v>4</v>
      </c>
      <c r="B10" s="22" t="s">
        <v>7</v>
      </c>
      <c r="C10" s="27" t="s">
        <v>92</v>
      </c>
      <c r="D10" s="28"/>
      <c r="E10" s="4"/>
      <c r="F10" s="4"/>
      <c r="G10" s="4"/>
      <c r="H10" s="4"/>
      <c r="I10" s="4"/>
    </row>
    <row r="11" spans="1:9" x14ac:dyDescent="0.25">
      <c r="A11" s="5">
        <v>5</v>
      </c>
      <c r="B11" s="22" t="s">
        <v>8</v>
      </c>
      <c r="C11" s="27" t="s">
        <v>93</v>
      </c>
      <c r="D11" s="28"/>
      <c r="E11" s="4"/>
      <c r="F11" s="4"/>
      <c r="G11" s="4"/>
      <c r="H11" s="4"/>
      <c r="I11" s="4"/>
    </row>
    <row r="12" spans="1:9" x14ac:dyDescent="0.25">
      <c r="A12" s="5">
        <v>6</v>
      </c>
      <c r="B12" s="22" t="s">
        <v>9</v>
      </c>
      <c r="C12" s="27" t="s">
        <v>94</v>
      </c>
      <c r="D12" s="28"/>
      <c r="E12" s="4"/>
      <c r="F12" s="4"/>
      <c r="G12" s="4"/>
      <c r="H12" s="4"/>
      <c r="I12" s="4"/>
    </row>
    <row r="13" spans="1:9" x14ac:dyDescent="0.25">
      <c r="A13" s="5">
        <v>7</v>
      </c>
      <c r="B13" s="22" t="s">
        <v>10</v>
      </c>
      <c r="C13" s="27" t="s">
        <v>95</v>
      </c>
      <c r="D13" s="28"/>
      <c r="E13" s="4"/>
      <c r="F13" s="4"/>
      <c r="G13" s="4"/>
      <c r="H13" s="4"/>
      <c r="I13" s="4"/>
    </row>
    <row r="14" spans="1:9" x14ac:dyDescent="0.25">
      <c r="A14" s="5">
        <v>8</v>
      </c>
      <c r="B14" s="22" t="s">
        <v>11</v>
      </c>
      <c r="C14" s="27" t="s">
        <v>96</v>
      </c>
      <c r="D14" s="28"/>
      <c r="E14" s="4"/>
      <c r="F14" s="4"/>
      <c r="G14" s="4"/>
      <c r="H14" s="4"/>
      <c r="I14" s="4"/>
    </row>
    <row r="15" spans="1:9" x14ac:dyDescent="0.25">
      <c r="A15" s="5">
        <v>9</v>
      </c>
      <c r="B15" s="22" t="s">
        <v>12</v>
      </c>
      <c r="C15" s="27" t="s">
        <v>97</v>
      </c>
      <c r="D15" s="28"/>
      <c r="E15" s="4"/>
      <c r="F15" s="4"/>
      <c r="G15" s="4"/>
      <c r="H15" s="4"/>
      <c r="I15" s="4"/>
    </row>
    <row r="16" spans="1:9" x14ac:dyDescent="0.25">
      <c r="A16" s="5">
        <v>10</v>
      </c>
      <c r="B16" s="22" t="s">
        <v>13</v>
      </c>
      <c r="C16" s="27" t="s">
        <v>98</v>
      </c>
      <c r="D16" s="28"/>
      <c r="E16" s="4"/>
      <c r="F16" s="4"/>
      <c r="G16" s="4"/>
      <c r="H16" s="4"/>
      <c r="I16" s="4"/>
    </row>
    <row r="17" spans="1:9" x14ac:dyDescent="0.25">
      <c r="A17" s="5">
        <v>11</v>
      </c>
      <c r="B17" s="22" t="s">
        <v>14</v>
      </c>
      <c r="C17" s="27" t="s">
        <v>99</v>
      </c>
      <c r="D17" s="28"/>
      <c r="E17" s="4"/>
      <c r="F17" s="4"/>
      <c r="G17" s="4"/>
      <c r="H17" s="4"/>
      <c r="I17" s="4"/>
    </row>
    <row r="18" spans="1:9" x14ac:dyDescent="0.25">
      <c r="A18" s="5">
        <v>12</v>
      </c>
      <c r="B18" s="22" t="s">
        <v>15</v>
      </c>
      <c r="C18" s="27" t="s">
        <v>100</v>
      </c>
      <c r="D18" s="28"/>
      <c r="E18" s="4"/>
      <c r="F18" s="4"/>
      <c r="G18" s="4"/>
      <c r="H18" s="4"/>
      <c r="I18" s="4"/>
    </row>
    <row r="19" spans="1:9" x14ac:dyDescent="0.25">
      <c r="A19" s="5">
        <v>13</v>
      </c>
      <c r="B19" s="22" t="s">
        <v>16</v>
      </c>
      <c r="C19" s="27" t="s">
        <v>101</v>
      </c>
      <c r="D19" s="28"/>
      <c r="E19" s="4"/>
      <c r="F19" s="4"/>
      <c r="G19" s="4"/>
      <c r="H19" s="4"/>
      <c r="I19" s="4"/>
    </row>
    <row r="20" spans="1:9" x14ac:dyDescent="0.25">
      <c r="A20" s="5">
        <v>14</v>
      </c>
      <c r="B20" s="22" t="s">
        <v>17</v>
      </c>
      <c r="C20" s="27" t="s">
        <v>102</v>
      </c>
      <c r="D20" s="28"/>
      <c r="E20" s="4"/>
      <c r="F20" s="4"/>
      <c r="G20" s="4"/>
      <c r="H20" s="4"/>
      <c r="I20" s="4"/>
    </row>
    <row r="21" spans="1:9" x14ac:dyDescent="0.25">
      <c r="A21" s="5">
        <v>15</v>
      </c>
      <c r="B21" s="22" t="s">
        <v>18</v>
      </c>
      <c r="C21" s="27" t="s">
        <v>103</v>
      </c>
      <c r="D21" s="28"/>
      <c r="E21" s="4"/>
      <c r="F21" s="4"/>
      <c r="G21" s="4"/>
      <c r="H21" s="4"/>
      <c r="I21" s="4"/>
    </row>
    <row r="22" spans="1:9" x14ac:dyDescent="0.25">
      <c r="A22" s="5">
        <v>16</v>
      </c>
      <c r="B22" s="22" t="s">
        <v>19</v>
      </c>
      <c r="C22" s="27" t="s">
        <v>104</v>
      </c>
      <c r="D22" s="28"/>
      <c r="E22" s="4"/>
      <c r="F22" s="4"/>
      <c r="G22" s="4"/>
      <c r="H22" s="4"/>
      <c r="I22" s="4"/>
    </row>
    <row r="24" spans="2:4" x14ac:dyDescent="0.25">
      <c r="B24" s="29" t="s">
        <v>105</v>
      </c>
      <c r="C24" s="30">
        <f>IF(D24="","",IF(D24&gt;=9,"Отлично",IF(D24&gt;=7,"Хорошо",IF(D24&gt;=5,"Средне","Плохо"))))</f>
      </c>
      <c r="D24" s="31">
        <f>IF(COUNT(D7:D22)=0,"",ROUND(AVERAGE(D7:D22),1))</f>
      </c>
    </row>
    <row r="25" spans="2:4" x14ac:dyDescent="0.25">
      <c r="B25" t="s">
        <v>106</v>
      </c>
      <c r="D25" s="32">
        <f>COUNT(D7:D22)&amp;" из 16"</f>
      </c>
    </row>
    <row r="28" spans="1:19" x14ac:dyDescent="0.25">
      <c r="A28" s="20" t="s">
        <v>107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30" customHeight="1" spans="1:19" x14ac:dyDescent="0.25">
      <c r="A29" s="33" t="s">
        <v>37</v>
      </c>
      <c r="B29" s="33" t="s">
        <v>38</v>
      </c>
      <c r="C29" s="33" t="s">
        <v>108</v>
      </c>
      <c r="D29" s="33" t="s">
        <v>109</v>
      </c>
      <c r="E29" s="33" t="s">
        <v>110</v>
      </c>
      <c r="F29" s="33" t="s">
        <v>111</v>
      </c>
      <c r="G29" s="33" t="s">
        <v>112</v>
      </c>
      <c r="H29" s="33" t="s">
        <v>113</v>
      </c>
      <c r="I29" s="33" t="s">
        <v>114</v>
      </c>
      <c r="J29" s="33" t="s">
        <v>115</v>
      </c>
      <c r="K29" s="33" t="s">
        <v>116</v>
      </c>
      <c r="L29" s="33" t="s">
        <v>117</v>
      </c>
      <c r="M29" s="33" t="s">
        <v>118</v>
      </c>
      <c r="N29" s="33" t="s">
        <v>40</v>
      </c>
      <c r="O29" s="33" t="s">
        <v>22</v>
      </c>
      <c r="P29" s="33" t="s">
        <v>23</v>
      </c>
      <c r="Q29" s="33" t="s">
        <v>24</v>
      </c>
      <c r="R29" s="33" t="s">
        <v>25</v>
      </c>
      <c r="S29" s="33" t="s">
        <v>88</v>
      </c>
    </row>
    <row r="30" spans="1:19" x14ac:dyDescent="0.25">
      <c r="A30" s="27" t="s">
        <v>41</v>
      </c>
      <c r="B30" s="22" t="s">
        <v>42</v>
      </c>
      <c r="C30" s="8">
        <v>29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5">
        <f>COUNT(D30:M30)</f>
      </c>
      <c r="O30" s="8">
        <f>C30*N30</f>
      </c>
      <c r="P30" s="8">
        <f>SUM(D30:M30)</f>
      </c>
      <c r="Q30" s="9">
        <f>IF(O30&gt;0,P30/O30,"")</f>
      </c>
      <c r="R30" s="10">
        <f>IF(N30&gt;0,P30-O30,"")</f>
      </c>
      <c r="S30" s="4"/>
    </row>
    <row r="31" spans="1:19" x14ac:dyDescent="0.25">
      <c r="A31" s="27" t="s">
        <v>41</v>
      </c>
      <c r="B31" s="22" t="s">
        <v>43</v>
      </c>
      <c r="C31" s="8">
        <v>379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5">
        <f>COUNT(D31:M31)</f>
      </c>
      <c r="O31" s="8">
        <f>C31*N31</f>
      </c>
      <c r="P31" s="8">
        <f>SUM(D31:M31)</f>
      </c>
      <c r="Q31" s="9">
        <f>IF(O31&gt;0,P31/O31,"")</f>
      </c>
      <c r="R31" s="10">
        <f>IF(N31&gt;0,P31-O31,"")</f>
      </c>
      <c r="S31" s="4"/>
    </row>
    <row r="32" spans="1:19" x14ac:dyDescent="0.25">
      <c r="A32" s="27" t="s">
        <v>41</v>
      </c>
      <c r="B32" s="22" t="s">
        <v>44</v>
      </c>
      <c r="C32" s="8">
        <v>819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5">
        <f>COUNT(D32:M32)</f>
      </c>
      <c r="O32" s="8">
        <f>C32*N32</f>
      </c>
      <c r="P32" s="8">
        <f>SUM(D32:M32)</f>
      </c>
      <c r="Q32" s="9">
        <f>IF(O32&gt;0,P32/O32,"")</f>
      </c>
      <c r="R32" s="10">
        <f>IF(N32&gt;0,P32-O32,"")</f>
      </c>
      <c r="S32" s="4"/>
    </row>
    <row r="33" spans="1:19" x14ac:dyDescent="0.25">
      <c r="A33" s="27" t="s">
        <v>41</v>
      </c>
      <c r="B33" s="22" t="s">
        <v>45</v>
      </c>
      <c r="C33" s="8">
        <v>169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5">
        <f>COUNT(D33:M33)</f>
      </c>
      <c r="O33" s="8">
        <f>C33*N33</f>
      </c>
      <c r="P33" s="8">
        <f>SUM(D33:M33)</f>
      </c>
      <c r="Q33" s="9">
        <f>IF(O33&gt;0,P33/O33,"")</f>
      </c>
      <c r="R33" s="10">
        <f>IF(N33&gt;0,P33-O33,"")</f>
      </c>
      <c r="S33" s="4"/>
    </row>
    <row r="34" spans="1:19" x14ac:dyDescent="0.25">
      <c r="A34" s="27" t="s">
        <v>41</v>
      </c>
      <c r="B34" s="22" t="s">
        <v>46</v>
      </c>
      <c r="C34" s="8">
        <v>59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5">
        <f>COUNT(D34:M34)</f>
      </c>
      <c r="O34" s="8">
        <f>C34*N34</f>
      </c>
      <c r="P34" s="8">
        <f>SUM(D34:M34)</f>
      </c>
      <c r="Q34" s="9">
        <f>IF(O34&gt;0,P34/O34,"")</f>
      </c>
      <c r="R34" s="10">
        <f>IF(N34&gt;0,P34-O34,"")</f>
      </c>
      <c r="S34" s="4"/>
    </row>
    <row r="35" spans="1:19" x14ac:dyDescent="0.25">
      <c r="A35" s="27" t="s">
        <v>41</v>
      </c>
      <c r="B35" s="22" t="s">
        <v>47</v>
      </c>
      <c r="C35" s="8">
        <v>199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5">
        <f>COUNT(D35:M35)</f>
      </c>
      <c r="O35" s="8">
        <f>C35*N35</f>
      </c>
      <c r="P35" s="8">
        <f>SUM(D35:M35)</f>
      </c>
      <c r="Q35" s="9">
        <f>IF(O35&gt;0,P35/O35,"")</f>
      </c>
      <c r="R35" s="10">
        <f>IF(N35&gt;0,P35-O35,"")</f>
      </c>
      <c r="S35" s="4"/>
    </row>
    <row r="36" spans="1:19" x14ac:dyDescent="0.25">
      <c r="A36" s="27" t="s">
        <v>48</v>
      </c>
      <c r="B36" s="22" t="s">
        <v>49</v>
      </c>
      <c r="C36" s="8">
        <v>169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5">
        <f>COUNT(D36:M36)</f>
      </c>
      <c r="O36" s="8">
        <f>C36*N36</f>
      </c>
      <c r="P36" s="8">
        <f>SUM(D36:M36)</f>
      </c>
      <c r="Q36" s="9">
        <f>IF(O36&gt;0,P36/O36,"")</f>
      </c>
      <c r="R36" s="10">
        <f>IF(N36&gt;0,P36-O36,"")</f>
      </c>
      <c r="S36" s="4"/>
    </row>
    <row r="37" spans="1:19" x14ac:dyDescent="0.25">
      <c r="A37" s="27" t="s">
        <v>48</v>
      </c>
      <c r="B37" s="22" t="s">
        <v>50</v>
      </c>
      <c r="C37" s="8">
        <v>245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5">
        <f>COUNT(D37:M37)</f>
      </c>
      <c r="O37" s="8">
        <f>C37*N37</f>
      </c>
      <c r="P37" s="8">
        <f>SUM(D37:M37)</f>
      </c>
      <c r="Q37" s="9">
        <f>IF(O37&gt;0,P37/O37,"")</f>
      </c>
      <c r="R37" s="10">
        <f>IF(N37&gt;0,P37-O37,"")</f>
      </c>
      <c r="S37" s="4"/>
    </row>
    <row r="38" spans="1:19" x14ac:dyDescent="0.25">
      <c r="A38" s="27" t="s">
        <v>48</v>
      </c>
      <c r="B38" s="22" t="s">
        <v>51</v>
      </c>
      <c r="C38" s="8">
        <v>322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5">
        <f>COUNT(D38:M38)</f>
      </c>
      <c r="O38" s="8">
        <f>C38*N38</f>
      </c>
      <c r="P38" s="8">
        <f>SUM(D38:M38)</f>
      </c>
      <c r="Q38" s="9">
        <f>IF(O38&gt;0,P38/O38,"")</f>
      </c>
      <c r="R38" s="10">
        <f>IF(N38&gt;0,P38-O38,"")</f>
      </c>
      <c r="S38" s="4"/>
    </row>
    <row r="39" spans="1:19" x14ac:dyDescent="0.25">
      <c r="A39" s="27" t="s">
        <v>48</v>
      </c>
      <c r="B39" s="22" t="s">
        <v>52</v>
      </c>
      <c r="C39" s="8">
        <v>666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5">
        <f>COUNT(D39:M39)</f>
      </c>
      <c r="O39" s="8">
        <f>C39*N39</f>
      </c>
      <c r="P39" s="8">
        <f>SUM(D39:M39)</f>
      </c>
      <c r="Q39" s="9">
        <f>IF(O39&gt;0,P39/O39,"")</f>
      </c>
      <c r="R39" s="10">
        <f>IF(N39&gt;0,P39-O39,"")</f>
      </c>
      <c r="S39" s="4"/>
    </row>
    <row r="40" spans="1:19" x14ac:dyDescent="0.25">
      <c r="A40" s="27" t="s">
        <v>53</v>
      </c>
      <c r="B40" s="22" t="s">
        <v>54</v>
      </c>
      <c r="C40" s="8">
        <v>249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5">
        <f>COUNT(D40:M40)</f>
      </c>
      <c r="O40" s="8">
        <f>C40*N40</f>
      </c>
      <c r="P40" s="8">
        <f>SUM(D40:M40)</f>
      </c>
      <c r="Q40" s="9">
        <f>IF(O40&gt;0,P40/O40,"")</f>
      </c>
      <c r="R40" s="10">
        <f>IF(N40&gt;0,P40-O40,"")</f>
      </c>
      <c r="S40" s="4"/>
    </row>
    <row r="41" spans="1:19" x14ac:dyDescent="0.25">
      <c r="A41" s="27" t="s">
        <v>53</v>
      </c>
      <c r="B41" s="22" t="s">
        <v>55</v>
      </c>
      <c r="C41" s="8">
        <v>299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5">
        <f>COUNT(D41:M41)</f>
      </c>
      <c r="O41" s="8">
        <f>C41*N41</f>
      </c>
      <c r="P41" s="8">
        <f>SUM(D41:M41)</f>
      </c>
      <c r="Q41" s="9">
        <f>IF(O41&gt;0,P41/O41,"")</f>
      </c>
      <c r="R41" s="10">
        <f>IF(N41&gt;0,P41-O41,"")</f>
      </c>
      <c r="S41" s="4"/>
    </row>
    <row r="42" spans="1:19" x14ac:dyDescent="0.25">
      <c r="A42" s="27" t="s">
        <v>53</v>
      </c>
      <c r="B42" s="22" t="s">
        <v>56</v>
      </c>
      <c r="C42" s="8">
        <v>299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5">
        <f>COUNT(D42:M42)</f>
      </c>
      <c r="O42" s="8">
        <f>C42*N42</f>
      </c>
      <c r="P42" s="8">
        <f>SUM(D42:M42)</f>
      </c>
      <c r="Q42" s="9">
        <f>IF(O42&gt;0,P42/O42,"")</f>
      </c>
      <c r="R42" s="10">
        <f>IF(N42&gt;0,P42-O42,"")</f>
      </c>
      <c r="S42" s="4"/>
    </row>
    <row r="43" spans="1:19" x14ac:dyDescent="0.25">
      <c r="A43" s="27" t="s">
        <v>53</v>
      </c>
      <c r="B43" s="22" t="s">
        <v>57</v>
      </c>
      <c r="C43" s="8">
        <v>349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">
        <f>COUNT(D43:M43)</f>
      </c>
      <c r="O43" s="8">
        <f>C43*N43</f>
      </c>
      <c r="P43" s="8">
        <f>SUM(D43:M43)</f>
      </c>
      <c r="Q43" s="9">
        <f>IF(O43&gt;0,P43/O43,"")</f>
      </c>
      <c r="R43" s="10">
        <f>IF(N43&gt;0,P43-O43,"")</f>
      </c>
      <c r="S43" s="4"/>
    </row>
    <row r="44" spans="1:19" x14ac:dyDescent="0.25">
      <c r="A44" s="27" t="s">
        <v>53</v>
      </c>
      <c r="B44" s="22" t="s">
        <v>58</v>
      </c>
      <c r="C44" s="8">
        <v>349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5">
        <f>COUNT(D44:M44)</f>
      </c>
      <c r="O44" s="8">
        <f>C44*N44</f>
      </c>
      <c r="P44" s="8">
        <f>SUM(D44:M44)</f>
      </c>
      <c r="Q44" s="9">
        <f>IF(O44&gt;0,P44/O44,"")</f>
      </c>
      <c r="R44" s="10">
        <f>IF(N44&gt;0,P44-O44,"")</f>
      </c>
      <c r="S44" s="4"/>
    </row>
    <row r="45" spans="1:19" x14ac:dyDescent="0.25">
      <c r="A45" s="27" t="s">
        <v>53</v>
      </c>
      <c r="B45" s="22" t="s">
        <v>59</v>
      </c>
      <c r="C45" s="8">
        <v>499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5">
        <f>COUNT(D45:M45)</f>
      </c>
      <c r="O45" s="8">
        <f>C45*N45</f>
      </c>
      <c r="P45" s="8">
        <f>SUM(D45:M45)</f>
      </c>
      <c r="Q45" s="9">
        <f>IF(O45&gt;0,P45/O45,"")</f>
      </c>
      <c r="R45" s="10">
        <f>IF(N45&gt;0,P45-O45,"")</f>
      </c>
      <c r="S45" s="4"/>
    </row>
    <row r="46" spans="1:19" x14ac:dyDescent="0.25">
      <c r="A46" s="27" t="s">
        <v>60</v>
      </c>
      <c r="B46" s="22" t="s">
        <v>61</v>
      </c>
      <c r="C46" s="8">
        <v>15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5">
        <f>COUNT(D46:M46)</f>
      </c>
      <c r="O46" s="8">
        <f>C46*N46</f>
      </c>
      <c r="P46" s="8">
        <f>SUM(D46:M46)</f>
      </c>
      <c r="Q46" s="9">
        <f>IF(O46&gt;0,P46/O46,"")</f>
      </c>
      <c r="R46" s="10">
        <f>IF(N46&gt;0,P46-O46,"")</f>
      </c>
      <c r="S46" s="4"/>
    </row>
    <row r="47" spans="1:19" x14ac:dyDescent="0.25">
      <c r="A47" s="27" t="s">
        <v>60</v>
      </c>
      <c r="B47" s="22" t="s">
        <v>62</v>
      </c>
      <c r="C47" s="8">
        <v>60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5">
        <f>COUNT(D47:M47)</f>
      </c>
      <c r="O47" s="8">
        <f>C47*N47</f>
      </c>
      <c r="P47" s="8">
        <f>SUM(D47:M47)</f>
      </c>
      <c r="Q47" s="9">
        <f>IF(O47&gt;0,P47/O47,"")</f>
      </c>
      <c r="R47" s="10">
        <f>IF(N47&gt;0,P47-O47,"")</f>
      </c>
      <c r="S47" s="4"/>
    </row>
    <row r="48" spans="1:19" x14ac:dyDescent="0.25">
      <c r="A48" s="27" t="s">
        <v>63</v>
      </c>
      <c r="B48" s="22" t="s">
        <v>64</v>
      </c>
      <c r="C48" s="8">
        <v>3549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5">
        <f>COUNT(D48:M48)</f>
      </c>
      <c r="O48" s="8">
        <f>C48*N48</f>
      </c>
      <c r="P48" s="8">
        <f>SUM(D48:M48)</f>
      </c>
      <c r="Q48" s="9">
        <f>IF(O48&gt;0,P48/O48,"")</f>
      </c>
      <c r="R48" s="10">
        <f>IF(N48&gt;0,P48-O48,"")</f>
      </c>
      <c r="S48" s="4"/>
    </row>
    <row r="49" spans="1:19" x14ac:dyDescent="0.25">
      <c r="A49" s="27" t="s">
        <v>63</v>
      </c>
      <c r="B49" s="22" t="s">
        <v>65</v>
      </c>
      <c r="C49" s="8">
        <v>39999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5">
        <f>COUNT(D49:M49)</f>
      </c>
      <c r="O49" s="8">
        <f>C49*N49</f>
      </c>
      <c r="P49" s="8">
        <f>SUM(D49:M49)</f>
      </c>
      <c r="Q49" s="9">
        <f>IF(O49&gt;0,P49/O49,"")</f>
      </c>
      <c r="R49" s="10">
        <f>IF(N49&gt;0,P49-O49,"")</f>
      </c>
      <c r="S49" s="4"/>
    </row>
    <row r="50" spans="1:19" x14ac:dyDescent="0.25">
      <c r="A50" s="27" t="s">
        <v>63</v>
      </c>
      <c r="B50" s="22" t="s">
        <v>66</v>
      </c>
      <c r="C50" s="8">
        <v>89999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5">
        <f>COUNT(D50:M50)</f>
      </c>
      <c r="O50" s="8">
        <f>C50*N50</f>
      </c>
      <c r="P50" s="8">
        <f>SUM(D50:M50)</f>
      </c>
      <c r="Q50" s="9">
        <f>IF(O50&gt;0,P50/O50,"")</f>
      </c>
      <c r="R50" s="10">
        <f>IF(N50&gt;0,P50-O50,"")</f>
      </c>
      <c r="S50" s="4"/>
    </row>
    <row r="51" spans="1:19" x14ac:dyDescent="0.25">
      <c r="A51" s="27" t="s">
        <v>67</v>
      </c>
      <c r="B51" s="22" t="s">
        <v>68</v>
      </c>
      <c r="C51" s="8">
        <v>499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5">
        <f>COUNT(D51:M51)</f>
      </c>
      <c r="O51" s="8">
        <f>C51*N51</f>
      </c>
      <c r="P51" s="8">
        <f>SUM(D51:M51)</f>
      </c>
      <c r="Q51" s="9">
        <f>IF(O51&gt;0,P51/O51,"")</f>
      </c>
      <c r="R51" s="10">
        <f>IF(N51&gt;0,P51-O51,"")</f>
      </c>
      <c r="S51" s="4"/>
    </row>
    <row r="52" spans="1:19" x14ac:dyDescent="0.25">
      <c r="A52" s="27" t="s">
        <v>67</v>
      </c>
      <c r="B52" s="22" t="s">
        <v>69</v>
      </c>
      <c r="C52" s="8">
        <v>3999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5">
        <f>COUNT(D52:M52)</f>
      </c>
      <c r="O52" s="8">
        <f>C52*N52</f>
      </c>
      <c r="P52" s="8">
        <f>SUM(D52:M52)</f>
      </c>
      <c r="Q52" s="9">
        <f>IF(O52&gt;0,P52/O52,"")</f>
      </c>
      <c r="R52" s="10">
        <f>IF(N52&gt;0,P52-O52,"")</f>
      </c>
      <c r="S52" s="4"/>
    </row>
    <row r="53" spans="1:19" x14ac:dyDescent="0.25">
      <c r="A53" s="27" t="s">
        <v>70</v>
      </c>
      <c r="B53" s="22" t="s">
        <v>71</v>
      </c>
      <c r="C53" s="8">
        <v>149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5">
        <f>COUNT(D53:M53)</f>
      </c>
      <c r="O53" s="8">
        <f>C53*N53</f>
      </c>
      <c r="P53" s="8">
        <f>SUM(D53:M53)</f>
      </c>
      <c r="Q53" s="9">
        <f>IF(O53&gt;0,P53/O53,"")</f>
      </c>
      <c r="R53" s="10">
        <f>IF(N53&gt;0,P53-O53,"")</f>
      </c>
      <c r="S53" s="4"/>
    </row>
    <row r="54" spans="1:19" x14ac:dyDescent="0.25">
      <c r="A54" s="27" t="s">
        <v>70</v>
      </c>
      <c r="B54" s="22" t="s">
        <v>72</v>
      </c>
      <c r="C54" s="8">
        <v>249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5">
        <f>COUNT(D54:M54)</f>
      </c>
      <c r="O54" s="8">
        <f>C54*N54</f>
      </c>
      <c r="P54" s="8">
        <f>SUM(D54:M54)</f>
      </c>
      <c r="Q54" s="9">
        <f>IF(O54&gt;0,P54/O54,"")</f>
      </c>
      <c r="R54" s="10">
        <f>IF(N54&gt;0,P54-O54,"")</f>
      </c>
      <c r="S54" s="4"/>
    </row>
    <row r="55" spans="1:19" x14ac:dyDescent="0.25">
      <c r="A55" s="27" t="s">
        <v>70</v>
      </c>
      <c r="B55" s="22" t="s">
        <v>73</v>
      </c>
      <c r="C55" s="8">
        <v>399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5">
        <f>COUNT(D55:M55)</f>
      </c>
      <c r="O55" s="8">
        <f>C55*N55</f>
      </c>
      <c r="P55" s="8">
        <f>SUM(D55:M55)</f>
      </c>
      <c r="Q55" s="9">
        <f>IF(O55&gt;0,P55/O55,"")</f>
      </c>
      <c r="R55" s="10">
        <f>IF(N55&gt;0,P55-O55,"")</f>
      </c>
      <c r="S55" s="4"/>
    </row>
    <row r="56" spans="1:19" x14ac:dyDescent="0.25">
      <c r="A56" s="27" t="s">
        <v>74</v>
      </c>
      <c r="B56" s="22" t="s">
        <v>75</v>
      </c>
      <c r="C56" s="8">
        <v>249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5">
        <f>COUNT(D56:M56)</f>
      </c>
      <c r="O56" s="8">
        <f>C56*N56</f>
      </c>
      <c r="P56" s="8">
        <f>SUM(D56:M56)</f>
      </c>
      <c r="Q56" s="9">
        <f>IF(O56&gt;0,P56/O56,"")</f>
      </c>
      <c r="R56" s="10">
        <f>IF(N56&gt;0,P56-O56,"")</f>
      </c>
      <c r="S56" s="4"/>
    </row>
    <row r="57" spans="1:19" x14ac:dyDescent="0.25">
      <c r="A57" s="27" t="s">
        <v>76</v>
      </c>
      <c r="B57" s="22" t="s">
        <v>77</v>
      </c>
      <c r="C57" s="8">
        <v>149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5">
        <f>COUNT(D57:M57)</f>
      </c>
      <c r="O57" s="8">
        <f>C57*N57</f>
      </c>
      <c r="P57" s="8">
        <f>SUM(D57:M57)</f>
      </c>
      <c r="Q57" s="9">
        <f>IF(O57&gt;0,P57/O57,"")</f>
      </c>
      <c r="R57" s="10">
        <f>IF(N57&gt;0,P57-O57,"")</f>
      </c>
      <c r="S57" s="4"/>
    </row>
    <row r="58" spans="1:19" x14ac:dyDescent="0.25">
      <c r="A58" s="11"/>
      <c r="B58" s="11" t="s">
        <v>119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>
        <f>SUM(N30:N57)</f>
      </c>
      <c r="O58" s="13">
        <f>SUM(O30:O57)</f>
      </c>
      <c r="P58" s="13">
        <f>SUM(P30:P57)</f>
      </c>
      <c r="Q58" s="14">
        <f>IF(O58&gt;0,P58/O58,"")</f>
      </c>
      <c r="R58" s="15">
        <f>P58-O58</f>
      </c>
      <c r="S58" s="11"/>
    </row>
    <row r="60" spans="2:5" x14ac:dyDescent="0.25">
      <c r="B60" s="35" t="s">
        <v>120</v>
      </c>
      <c r="C60" s="35"/>
      <c r="D60" s="36">
        <f>IF(O58&gt;0,P58/O58,"")</f>
      </c>
      <c r="E60" s="36"/>
    </row>
    <row r="61" spans="2:5" x14ac:dyDescent="0.25">
      <c r="B61" s="35" t="s">
        <v>121</v>
      </c>
      <c r="C61" s="35"/>
      <c r="D61" s="37">
        <f>MAX(0,O58-P58)</f>
      </c>
      <c r="E61" s="37"/>
    </row>
    <row r="62" spans="2:5" x14ac:dyDescent="0.25">
      <c r="B62" s="35" t="s">
        <v>122</v>
      </c>
      <c r="C62" s="35"/>
      <c r="D62" s="36">
        <f>IF(O58&gt;0,MAX(0,1-P58/O58),"")</f>
      </c>
      <c r="E62" s="36"/>
    </row>
    <row r="63" spans="2:5" x14ac:dyDescent="0.25">
      <c r="B63" s="35" t="s">
        <v>123</v>
      </c>
      <c r="C63" s="35"/>
      <c r="D63" s="37">
        <f>MAX(0,P58-O58)</f>
      </c>
      <c r="E63" s="37"/>
    </row>
  </sheetData>
  <mergeCells count="29">
    <mergeCell ref="A1:S1"/>
    <mergeCell ref="F3:H3"/>
    <mergeCell ref="A5:F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A28:S28"/>
    <mergeCell ref="B60:C60"/>
    <mergeCell ref="D60:E60"/>
    <mergeCell ref="B61:C61"/>
    <mergeCell ref="D61:E61"/>
    <mergeCell ref="B62:C62"/>
    <mergeCell ref="D62:E62"/>
    <mergeCell ref="B63:C63"/>
    <mergeCell ref="D63:E63"/>
  </mergeCells>
  <conditionalFormatting sqref="Q30:Q58">
    <cfRule type="cellIs" dxfId="6" priority="1" operator="lessThan">
      <formula>1</formula>
    </cfRule>
    <cfRule type="cellIs" dxfId="7" priority="2" operator="greaterThanOrEqual">
      <formula>1</formula>
    </cfRule>
  </conditionalFormatting>
  <conditionalFormatting sqref="R30:R58">
    <cfRule type="cellIs" dxfId="8" priority="3" operator="lessThan">
      <formula>0</formula>
    </cfRule>
    <cfRule type="cellIs" dxfId="9" priority="4" operator="greaterThan">
      <formula>0</formula>
    </cfRule>
  </conditionalFormatting>
  <dataValidations count="4">
    <dataValidation type="decimal" allowBlank="1" showErrorMessage="1" errorTitle="Оценка от 0 до 10" error="Введите число от 0 до 10" sqref="D10:D22">
      <formula1>0</formula1>
      <formula2>10</formula2>
    </dataValidation>
    <dataValidation type="decimal" operator="greaterThanOrEqual" allowBlank="1" showErrorMessage="1" error="Стоимость дропа — число, ₽" sqref="D30:M57">
      <formula1>0</formula1>
    </dataValidation>
    <dataValidation type="decimal" allowBlank="1" showErrorMessage="1" errorTitle="Оценка от 0 до 10" error="Введите число от 0 до 10" sqref="D7:D22">
      <formula1>0</formula1>
      <formula2>10</formula2>
    </dataValidation>
    <dataValidation type="list" allowBlank="1" sqref="F3">
      <formula1>"Компьютер,Телефон,Планшет"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C76B"/>
  </sheetPr>
  <dimension ref="A1:S63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46" customWidth="1"/>
    <col min="15" max="18" width="13" customWidth="1"/>
    <col min="19" max="19" width="30" customWidth="1"/>
  </cols>
  <sheetData>
    <row r="1" ht="34" customHeight="1" spans="1:19" x14ac:dyDescent="0.25">
      <c r="A1" s="23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" x14ac:dyDescent="0.25">
      <c r="A2" s="2" t="s">
        <v>79</v>
      </c>
    </row>
    <row r="3" spans="1:8" x14ac:dyDescent="0.25">
      <c r="A3" s="24" t="s">
        <v>80</v>
      </c>
      <c r="B3" s="4"/>
      <c r="C3" s="24" t="s">
        <v>81</v>
      </c>
      <c r="D3" s="25"/>
      <c r="E3" s="24" t="s">
        <v>82</v>
      </c>
      <c r="F3" s="4"/>
      <c r="G3" s="4"/>
      <c r="H3" s="4"/>
    </row>
    <row r="5" spans="1:6" x14ac:dyDescent="0.25">
      <c r="A5" s="20" t="s">
        <v>83</v>
      </c>
      <c r="B5" s="20"/>
      <c r="C5" s="20"/>
      <c r="D5" s="20"/>
      <c r="E5" s="20"/>
      <c r="F5" s="20"/>
    </row>
    <row r="6" spans="1:9" x14ac:dyDescent="0.25">
      <c r="A6" s="26" t="s">
        <v>84</v>
      </c>
      <c r="B6" s="26" t="s">
        <v>85</v>
      </c>
      <c r="C6" s="26" t="s">
        <v>86</v>
      </c>
      <c r="D6" s="26" t="s">
        <v>87</v>
      </c>
      <c r="E6" s="26" t="s">
        <v>88</v>
      </c>
      <c r="F6" s="26"/>
      <c r="G6" s="26"/>
      <c r="H6" s="26"/>
      <c r="I6" s="26"/>
    </row>
    <row r="7" spans="1:9" x14ac:dyDescent="0.25">
      <c r="A7" s="5">
        <v>1</v>
      </c>
      <c r="B7" s="22" t="s">
        <v>4</v>
      </c>
      <c r="C7" s="27" t="s">
        <v>89</v>
      </c>
      <c r="D7" s="28"/>
      <c r="E7" s="4"/>
      <c r="F7" s="4"/>
      <c r="G7" s="4"/>
      <c r="H7" s="4"/>
      <c r="I7" s="4"/>
    </row>
    <row r="8" spans="1:9" x14ac:dyDescent="0.25">
      <c r="A8" s="5">
        <v>2</v>
      </c>
      <c r="B8" s="22" t="s">
        <v>5</v>
      </c>
      <c r="C8" s="27" t="s">
        <v>90</v>
      </c>
      <c r="D8" s="28"/>
      <c r="E8" s="4"/>
      <c r="F8" s="4"/>
      <c r="G8" s="4"/>
      <c r="H8" s="4"/>
      <c r="I8" s="4"/>
    </row>
    <row r="9" spans="1:9" x14ac:dyDescent="0.25">
      <c r="A9" s="5">
        <v>3</v>
      </c>
      <c r="B9" s="22" t="s">
        <v>6</v>
      </c>
      <c r="C9" s="27" t="s">
        <v>91</v>
      </c>
      <c r="D9" s="28"/>
      <c r="E9" s="4"/>
      <c r="F9" s="4"/>
      <c r="G9" s="4"/>
      <c r="H9" s="4"/>
      <c r="I9" s="4"/>
    </row>
    <row r="10" spans="1:9" x14ac:dyDescent="0.25">
      <c r="A10" s="5">
        <v>4</v>
      </c>
      <c r="B10" s="22" t="s">
        <v>7</v>
      </c>
      <c r="C10" s="27" t="s">
        <v>92</v>
      </c>
      <c r="D10" s="28"/>
      <c r="E10" s="4"/>
      <c r="F10" s="4"/>
      <c r="G10" s="4"/>
      <c r="H10" s="4"/>
      <c r="I10" s="4"/>
    </row>
    <row r="11" spans="1:9" x14ac:dyDescent="0.25">
      <c r="A11" s="5">
        <v>5</v>
      </c>
      <c r="B11" s="22" t="s">
        <v>8</v>
      </c>
      <c r="C11" s="27" t="s">
        <v>93</v>
      </c>
      <c r="D11" s="28"/>
      <c r="E11" s="4"/>
      <c r="F11" s="4"/>
      <c r="G11" s="4"/>
      <c r="H11" s="4"/>
      <c r="I11" s="4"/>
    </row>
    <row r="12" spans="1:9" x14ac:dyDescent="0.25">
      <c r="A12" s="5">
        <v>6</v>
      </c>
      <c r="B12" s="22" t="s">
        <v>9</v>
      </c>
      <c r="C12" s="27" t="s">
        <v>94</v>
      </c>
      <c r="D12" s="28"/>
      <c r="E12" s="4"/>
      <c r="F12" s="4"/>
      <c r="G12" s="4"/>
      <c r="H12" s="4"/>
      <c r="I12" s="4"/>
    </row>
    <row r="13" spans="1:9" x14ac:dyDescent="0.25">
      <c r="A13" s="5">
        <v>7</v>
      </c>
      <c r="B13" s="22" t="s">
        <v>10</v>
      </c>
      <c r="C13" s="27" t="s">
        <v>95</v>
      </c>
      <c r="D13" s="28"/>
      <c r="E13" s="4"/>
      <c r="F13" s="4"/>
      <c r="G13" s="4"/>
      <c r="H13" s="4"/>
      <c r="I13" s="4"/>
    </row>
    <row r="14" spans="1:9" x14ac:dyDescent="0.25">
      <c r="A14" s="5">
        <v>8</v>
      </c>
      <c r="B14" s="22" t="s">
        <v>11</v>
      </c>
      <c r="C14" s="27" t="s">
        <v>96</v>
      </c>
      <c r="D14" s="28"/>
      <c r="E14" s="4"/>
      <c r="F14" s="4"/>
      <c r="G14" s="4"/>
      <c r="H14" s="4"/>
      <c r="I14" s="4"/>
    </row>
    <row r="15" spans="1:9" x14ac:dyDescent="0.25">
      <c r="A15" s="5">
        <v>9</v>
      </c>
      <c r="B15" s="22" t="s">
        <v>12</v>
      </c>
      <c r="C15" s="27" t="s">
        <v>97</v>
      </c>
      <c r="D15" s="28"/>
      <c r="E15" s="4"/>
      <c r="F15" s="4"/>
      <c r="G15" s="4"/>
      <c r="H15" s="4"/>
      <c r="I15" s="4"/>
    </row>
    <row r="16" spans="1:9" x14ac:dyDescent="0.25">
      <c r="A16" s="5">
        <v>10</v>
      </c>
      <c r="B16" s="22" t="s">
        <v>13</v>
      </c>
      <c r="C16" s="27" t="s">
        <v>98</v>
      </c>
      <c r="D16" s="28"/>
      <c r="E16" s="4"/>
      <c r="F16" s="4"/>
      <c r="G16" s="4"/>
      <c r="H16" s="4"/>
      <c r="I16" s="4"/>
    </row>
    <row r="17" spans="1:9" x14ac:dyDescent="0.25">
      <c r="A17" s="5">
        <v>11</v>
      </c>
      <c r="B17" s="22" t="s">
        <v>14</v>
      </c>
      <c r="C17" s="27" t="s">
        <v>99</v>
      </c>
      <c r="D17" s="28"/>
      <c r="E17" s="4"/>
      <c r="F17" s="4"/>
      <c r="G17" s="4"/>
      <c r="H17" s="4"/>
      <c r="I17" s="4"/>
    </row>
    <row r="18" spans="1:9" x14ac:dyDescent="0.25">
      <c r="A18" s="5">
        <v>12</v>
      </c>
      <c r="B18" s="22" t="s">
        <v>15</v>
      </c>
      <c r="C18" s="27" t="s">
        <v>100</v>
      </c>
      <c r="D18" s="28"/>
      <c r="E18" s="4"/>
      <c r="F18" s="4"/>
      <c r="G18" s="4"/>
      <c r="H18" s="4"/>
      <c r="I18" s="4"/>
    </row>
    <row r="19" spans="1:9" x14ac:dyDescent="0.25">
      <c r="A19" s="5">
        <v>13</v>
      </c>
      <c r="B19" s="22" t="s">
        <v>16</v>
      </c>
      <c r="C19" s="27" t="s">
        <v>101</v>
      </c>
      <c r="D19" s="28"/>
      <c r="E19" s="4"/>
      <c r="F19" s="4"/>
      <c r="G19" s="4"/>
      <c r="H19" s="4"/>
      <c r="I19" s="4"/>
    </row>
    <row r="20" spans="1:9" x14ac:dyDescent="0.25">
      <c r="A20" s="5">
        <v>14</v>
      </c>
      <c r="B20" s="22" t="s">
        <v>17</v>
      </c>
      <c r="C20" s="27" t="s">
        <v>102</v>
      </c>
      <c r="D20" s="28"/>
      <c r="E20" s="4"/>
      <c r="F20" s="4"/>
      <c r="G20" s="4"/>
      <c r="H20" s="4"/>
      <c r="I20" s="4"/>
    </row>
    <row r="21" spans="1:9" x14ac:dyDescent="0.25">
      <c r="A21" s="5">
        <v>15</v>
      </c>
      <c r="B21" s="22" t="s">
        <v>18</v>
      </c>
      <c r="C21" s="27" t="s">
        <v>103</v>
      </c>
      <c r="D21" s="28"/>
      <c r="E21" s="4"/>
      <c r="F21" s="4"/>
      <c r="G21" s="4"/>
      <c r="H21" s="4"/>
      <c r="I21" s="4"/>
    </row>
    <row r="22" spans="1:9" x14ac:dyDescent="0.25">
      <c r="A22" s="5">
        <v>16</v>
      </c>
      <c r="B22" s="22" t="s">
        <v>19</v>
      </c>
      <c r="C22" s="27" t="s">
        <v>104</v>
      </c>
      <c r="D22" s="28"/>
      <c r="E22" s="4"/>
      <c r="F22" s="4"/>
      <c r="G22" s="4"/>
      <c r="H22" s="4"/>
      <c r="I22" s="4"/>
    </row>
    <row r="24" spans="2:4" x14ac:dyDescent="0.25">
      <c r="B24" s="29" t="s">
        <v>105</v>
      </c>
      <c r="C24" s="30">
        <f>IF(D24="","",IF(D24&gt;=9,"Отлично",IF(D24&gt;=7,"Хорошо",IF(D24&gt;=5,"Средне","Плохо"))))</f>
      </c>
      <c r="D24" s="31">
        <f>IF(COUNT(D7:D22)=0,"",ROUND(AVERAGE(D7:D22),1))</f>
      </c>
    </row>
    <row r="25" spans="2:4" x14ac:dyDescent="0.25">
      <c r="B25" t="s">
        <v>106</v>
      </c>
      <c r="D25" s="32">
        <f>COUNT(D7:D22)&amp;" из 16"</f>
      </c>
    </row>
    <row r="28" spans="1:19" x14ac:dyDescent="0.25">
      <c r="A28" s="20" t="s">
        <v>107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30" customHeight="1" spans="1:19" x14ac:dyDescent="0.25">
      <c r="A29" s="33" t="s">
        <v>37</v>
      </c>
      <c r="B29" s="33" t="s">
        <v>38</v>
      </c>
      <c r="C29" s="33" t="s">
        <v>108</v>
      </c>
      <c r="D29" s="33" t="s">
        <v>109</v>
      </c>
      <c r="E29" s="33" t="s">
        <v>110</v>
      </c>
      <c r="F29" s="33" t="s">
        <v>111</v>
      </c>
      <c r="G29" s="33" t="s">
        <v>112</v>
      </c>
      <c r="H29" s="33" t="s">
        <v>113</v>
      </c>
      <c r="I29" s="33" t="s">
        <v>114</v>
      </c>
      <c r="J29" s="33" t="s">
        <v>115</v>
      </c>
      <c r="K29" s="33" t="s">
        <v>116</v>
      </c>
      <c r="L29" s="33" t="s">
        <v>117</v>
      </c>
      <c r="M29" s="33" t="s">
        <v>118</v>
      </c>
      <c r="N29" s="33" t="s">
        <v>40</v>
      </c>
      <c r="O29" s="33" t="s">
        <v>22</v>
      </c>
      <c r="P29" s="33" t="s">
        <v>23</v>
      </c>
      <c r="Q29" s="33" t="s">
        <v>24</v>
      </c>
      <c r="R29" s="33" t="s">
        <v>25</v>
      </c>
      <c r="S29" s="33" t="s">
        <v>88</v>
      </c>
    </row>
    <row r="30" spans="1:19" x14ac:dyDescent="0.25">
      <c r="A30" s="27" t="s">
        <v>41</v>
      </c>
      <c r="B30" s="22" t="s">
        <v>42</v>
      </c>
      <c r="C30" s="8">
        <v>29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5">
        <f>COUNT(D30:M30)</f>
      </c>
      <c r="O30" s="8">
        <f>C30*N30</f>
      </c>
      <c r="P30" s="8">
        <f>SUM(D30:M30)</f>
      </c>
      <c r="Q30" s="9">
        <f>IF(O30&gt;0,P30/O30,"")</f>
      </c>
      <c r="R30" s="10">
        <f>IF(N30&gt;0,P30-O30,"")</f>
      </c>
      <c r="S30" s="4"/>
    </row>
    <row r="31" spans="1:19" x14ac:dyDescent="0.25">
      <c r="A31" s="27" t="s">
        <v>41</v>
      </c>
      <c r="B31" s="22" t="s">
        <v>43</v>
      </c>
      <c r="C31" s="8">
        <v>379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5">
        <f>COUNT(D31:M31)</f>
      </c>
      <c r="O31" s="8">
        <f>C31*N31</f>
      </c>
      <c r="P31" s="8">
        <f>SUM(D31:M31)</f>
      </c>
      <c r="Q31" s="9">
        <f>IF(O31&gt;0,P31/O31,"")</f>
      </c>
      <c r="R31" s="10">
        <f>IF(N31&gt;0,P31-O31,"")</f>
      </c>
      <c r="S31" s="4"/>
    </row>
    <row r="32" spans="1:19" x14ac:dyDescent="0.25">
      <c r="A32" s="27" t="s">
        <v>41</v>
      </c>
      <c r="B32" s="22" t="s">
        <v>44</v>
      </c>
      <c r="C32" s="8">
        <v>819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5">
        <f>COUNT(D32:M32)</f>
      </c>
      <c r="O32" s="8">
        <f>C32*N32</f>
      </c>
      <c r="P32" s="8">
        <f>SUM(D32:M32)</f>
      </c>
      <c r="Q32" s="9">
        <f>IF(O32&gt;0,P32/O32,"")</f>
      </c>
      <c r="R32" s="10">
        <f>IF(N32&gt;0,P32-O32,"")</f>
      </c>
      <c r="S32" s="4"/>
    </row>
    <row r="33" spans="1:19" x14ac:dyDescent="0.25">
      <c r="A33" s="27" t="s">
        <v>41</v>
      </c>
      <c r="B33" s="22" t="s">
        <v>45</v>
      </c>
      <c r="C33" s="8">
        <v>169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5">
        <f>COUNT(D33:M33)</f>
      </c>
      <c r="O33" s="8">
        <f>C33*N33</f>
      </c>
      <c r="P33" s="8">
        <f>SUM(D33:M33)</f>
      </c>
      <c r="Q33" s="9">
        <f>IF(O33&gt;0,P33/O33,"")</f>
      </c>
      <c r="R33" s="10">
        <f>IF(N33&gt;0,P33-O33,"")</f>
      </c>
      <c r="S33" s="4"/>
    </row>
    <row r="34" spans="1:19" x14ac:dyDescent="0.25">
      <c r="A34" s="27" t="s">
        <v>41</v>
      </c>
      <c r="B34" s="22" t="s">
        <v>46</v>
      </c>
      <c r="C34" s="8">
        <v>59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5">
        <f>COUNT(D34:M34)</f>
      </c>
      <c r="O34" s="8">
        <f>C34*N34</f>
      </c>
      <c r="P34" s="8">
        <f>SUM(D34:M34)</f>
      </c>
      <c r="Q34" s="9">
        <f>IF(O34&gt;0,P34/O34,"")</f>
      </c>
      <c r="R34" s="10">
        <f>IF(N34&gt;0,P34-O34,"")</f>
      </c>
      <c r="S34" s="4"/>
    </row>
    <row r="35" spans="1:19" x14ac:dyDescent="0.25">
      <c r="A35" s="27" t="s">
        <v>41</v>
      </c>
      <c r="B35" s="22" t="s">
        <v>47</v>
      </c>
      <c r="C35" s="8">
        <v>199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5">
        <f>COUNT(D35:M35)</f>
      </c>
      <c r="O35" s="8">
        <f>C35*N35</f>
      </c>
      <c r="P35" s="8">
        <f>SUM(D35:M35)</f>
      </c>
      <c r="Q35" s="9">
        <f>IF(O35&gt;0,P35/O35,"")</f>
      </c>
      <c r="R35" s="10">
        <f>IF(N35&gt;0,P35-O35,"")</f>
      </c>
      <c r="S35" s="4"/>
    </row>
    <row r="36" spans="1:19" x14ac:dyDescent="0.25">
      <c r="A36" s="27" t="s">
        <v>48</v>
      </c>
      <c r="B36" s="22" t="s">
        <v>49</v>
      </c>
      <c r="C36" s="8">
        <v>169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5">
        <f>COUNT(D36:M36)</f>
      </c>
      <c r="O36" s="8">
        <f>C36*N36</f>
      </c>
      <c r="P36" s="8">
        <f>SUM(D36:M36)</f>
      </c>
      <c r="Q36" s="9">
        <f>IF(O36&gt;0,P36/O36,"")</f>
      </c>
      <c r="R36" s="10">
        <f>IF(N36&gt;0,P36-O36,"")</f>
      </c>
      <c r="S36" s="4"/>
    </row>
    <row r="37" spans="1:19" x14ac:dyDescent="0.25">
      <c r="A37" s="27" t="s">
        <v>48</v>
      </c>
      <c r="B37" s="22" t="s">
        <v>50</v>
      </c>
      <c r="C37" s="8">
        <v>245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5">
        <f>COUNT(D37:M37)</f>
      </c>
      <c r="O37" s="8">
        <f>C37*N37</f>
      </c>
      <c r="P37" s="8">
        <f>SUM(D37:M37)</f>
      </c>
      <c r="Q37" s="9">
        <f>IF(O37&gt;0,P37/O37,"")</f>
      </c>
      <c r="R37" s="10">
        <f>IF(N37&gt;0,P37-O37,"")</f>
      </c>
      <c r="S37" s="4"/>
    </row>
    <row r="38" spans="1:19" x14ac:dyDescent="0.25">
      <c r="A38" s="27" t="s">
        <v>48</v>
      </c>
      <c r="B38" s="22" t="s">
        <v>51</v>
      </c>
      <c r="C38" s="8">
        <v>322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5">
        <f>COUNT(D38:M38)</f>
      </c>
      <c r="O38" s="8">
        <f>C38*N38</f>
      </c>
      <c r="P38" s="8">
        <f>SUM(D38:M38)</f>
      </c>
      <c r="Q38" s="9">
        <f>IF(O38&gt;0,P38/O38,"")</f>
      </c>
      <c r="R38" s="10">
        <f>IF(N38&gt;0,P38-O38,"")</f>
      </c>
      <c r="S38" s="4"/>
    </row>
    <row r="39" spans="1:19" x14ac:dyDescent="0.25">
      <c r="A39" s="27" t="s">
        <v>48</v>
      </c>
      <c r="B39" s="22" t="s">
        <v>52</v>
      </c>
      <c r="C39" s="8">
        <v>666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5">
        <f>COUNT(D39:M39)</f>
      </c>
      <c r="O39" s="8">
        <f>C39*N39</f>
      </c>
      <c r="P39" s="8">
        <f>SUM(D39:M39)</f>
      </c>
      <c r="Q39" s="9">
        <f>IF(O39&gt;0,P39/O39,"")</f>
      </c>
      <c r="R39" s="10">
        <f>IF(N39&gt;0,P39-O39,"")</f>
      </c>
      <c r="S39" s="4"/>
    </row>
    <row r="40" spans="1:19" x14ac:dyDescent="0.25">
      <c r="A40" s="27" t="s">
        <v>53</v>
      </c>
      <c r="B40" s="22" t="s">
        <v>54</v>
      </c>
      <c r="C40" s="8">
        <v>249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5">
        <f>COUNT(D40:M40)</f>
      </c>
      <c r="O40" s="8">
        <f>C40*N40</f>
      </c>
      <c r="P40" s="8">
        <f>SUM(D40:M40)</f>
      </c>
      <c r="Q40" s="9">
        <f>IF(O40&gt;0,P40/O40,"")</f>
      </c>
      <c r="R40" s="10">
        <f>IF(N40&gt;0,P40-O40,"")</f>
      </c>
      <c r="S40" s="4"/>
    </row>
    <row r="41" spans="1:19" x14ac:dyDescent="0.25">
      <c r="A41" s="27" t="s">
        <v>53</v>
      </c>
      <c r="B41" s="22" t="s">
        <v>55</v>
      </c>
      <c r="C41" s="8">
        <v>299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5">
        <f>COUNT(D41:M41)</f>
      </c>
      <c r="O41" s="8">
        <f>C41*N41</f>
      </c>
      <c r="P41" s="8">
        <f>SUM(D41:M41)</f>
      </c>
      <c r="Q41" s="9">
        <f>IF(O41&gt;0,P41/O41,"")</f>
      </c>
      <c r="R41" s="10">
        <f>IF(N41&gt;0,P41-O41,"")</f>
      </c>
      <c r="S41" s="4"/>
    </row>
    <row r="42" spans="1:19" x14ac:dyDescent="0.25">
      <c r="A42" s="27" t="s">
        <v>53</v>
      </c>
      <c r="B42" s="22" t="s">
        <v>56</v>
      </c>
      <c r="C42" s="8">
        <v>299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5">
        <f>COUNT(D42:M42)</f>
      </c>
      <c r="O42" s="8">
        <f>C42*N42</f>
      </c>
      <c r="P42" s="8">
        <f>SUM(D42:M42)</f>
      </c>
      <c r="Q42" s="9">
        <f>IF(O42&gt;0,P42/O42,"")</f>
      </c>
      <c r="R42" s="10">
        <f>IF(N42&gt;0,P42-O42,"")</f>
      </c>
      <c r="S42" s="4"/>
    </row>
    <row r="43" spans="1:19" x14ac:dyDescent="0.25">
      <c r="A43" s="27" t="s">
        <v>53</v>
      </c>
      <c r="B43" s="22" t="s">
        <v>57</v>
      </c>
      <c r="C43" s="8">
        <v>349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">
        <f>COUNT(D43:M43)</f>
      </c>
      <c r="O43" s="8">
        <f>C43*N43</f>
      </c>
      <c r="P43" s="8">
        <f>SUM(D43:M43)</f>
      </c>
      <c r="Q43" s="9">
        <f>IF(O43&gt;0,P43/O43,"")</f>
      </c>
      <c r="R43" s="10">
        <f>IF(N43&gt;0,P43-O43,"")</f>
      </c>
      <c r="S43" s="4"/>
    </row>
    <row r="44" spans="1:19" x14ac:dyDescent="0.25">
      <c r="A44" s="27" t="s">
        <v>53</v>
      </c>
      <c r="B44" s="22" t="s">
        <v>58</v>
      </c>
      <c r="C44" s="8">
        <v>349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5">
        <f>COUNT(D44:M44)</f>
      </c>
      <c r="O44" s="8">
        <f>C44*N44</f>
      </c>
      <c r="P44" s="8">
        <f>SUM(D44:M44)</f>
      </c>
      <c r="Q44" s="9">
        <f>IF(O44&gt;0,P44/O44,"")</f>
      </c>
      <c r="R44" s="10">
        <f>IF(N44&gt;0,P44-O44,"")</f>
      </c>
      <c r="S44" s="4"/>
    </row>
    <row r="45" spans="1:19" x14ac:dyDescent="0.25">
      <c r="A45" s="27" t="s">
        <v>53</v>
      </c>
      <c r="B45" s="22" t="s">
        <v>59</v>
      </c>
      <c r="C45" s="8">
        <v>499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5">
        <f>COUNT(D45:M45)</f>
      </c>
      <c r="O45" s="8">
        <f>C45*N45</f>
      </c>
      <c r="P45" s="8">
        <f>SUM(D45:M45)</f>
      </c>
      <c r="Q45" s="9">
        <f>IF(O45&gt;0,P45/O45,"")</f>
      </c>
      <c r="R45" s="10">
        <f>IF(N45&gt;0,P45-O45,"")</f>
      </c>
      <c r="S45" s="4"/>
    </row>
    <row r="46" spans="1:19" x14ac:dyDescent="0.25">
      <c r="A46" s="27" t="s">
        <v>60</v>
      </c>
      <c r="B46" s="22" t="s">
        <v>61</v>
      </c>
      <c r="C46" s="8">
        <v>15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5">
        <f>COUNT(D46:M46)</f>
      </c>
      <c r="O46" s="8">
        <f>C46*N46</f>
      </c>
      <c r="P46" s="8">
        <f>SUM(D46:M46)</f>
      </c>
      <c r="Q46" s="9">
        <f>IF(O46&gt;0,P46/O46,"")</f>
      </c>
      <c r="R46" s="10">
        <f>IF(N46&gt;0,P46-O46,"")</f>
      </c>
      <c r="S46" s="4"/>
    </row>
    <row r="47" spans="1:19" x14ac:dyDescent="0.25">
      <c r="A47" s="27" t="s">
        <v>60</v>
      </c>
      <c r="B47" s="22" t="s">
        <v>62</v>
      </c>
      <c r="C47" s="8">
        <v>60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5">
        <f>COUNT(D47:M47)</f>
      </c>
      <c r="O47" s="8">
        <f>C47*N47</f>
      </c>
      <c r="P47" s="8">
        <f>SUM(D47:M47)</f>
      </c>
      <c r="Q47" s="9">
        <f>IF(O47&gt;0,P47/O47,"")</f>
      </c>
      <c r="R47" s="10">
        <f>IF(N47&gt;0,P47-O47,"")</f>
      </c>
      <c r="S47" s="4"/>
    </row>
    <row r="48" spans="1:19" x14ac:dyDescent="0.25">
      <c r="A48" s="27" t="s">
        <v>63</v>
      </c>
      <c r="B48" s="22" t="s">
        <v>64</v>
      </c>
      <c r="C48" s="8">
        <v>3549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5">
        <f>COUNT(D48:M48)</f>
      </c>
      <c r="O48" s="8">
        <f>C48*N48</f>
      </c>
      <c r="P48" s="8">
        <f>SUM(D48:M48)</f>
      </c>
      <c r="Q48" s="9">
        <f>IF(O48&gt;0,P48/O48,"")</f>
      </c>
      <c r="R48" s="10">
        <f>IF(N48&gt;0,P48-O48,"")</f>
      </c>
      <c r="S48" s="4"/>
    </row>
    <row r="49" spans="1:19" x14ac:dyDescent="0.25">
      <c r="A49" s="27" t="s">
        <v>63</v>
      </c>
      <c r="B49" s="22" t="s">
        <v>65</v>
      </c>
      <c r="C49" s="8">
        <v>39999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5">
        <f>COUNT(D49:M49)</f>
      </c>
      <c r="O49" s="8">
        <f>C49*N49</f>
      </c>
      <c r="P49" s="8">
        <f>SUM(D49:M49)</f>
      </c>
      <c r="Q49" s="9">
        <f>IF(O49&gt;0,P49/O49,"")</f>
      </c>
      <c r="R49" s="10">
        <f>IF(N49&gt;0,P49-O49,"")</f>
      </c>
      <c r="S49" s="4"/>
    </row>
    <row r="50" spans="1:19" x14ac:dyDescent="0.25">
      <c r="A50" s="27" t="s">
        <v>63</v>
      </c>
      <c r="B50" s="22" t="s">
        <v>66</v>
      </c>
      <c r="C50" s="8">
        <v>89999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5">
        <f>COUNT(D50:M50)</f>
      </c>
      <c r="O50" s="8">
        <f>C50*N50</f>
      </c>
      <c r="P50" s="8">
        <f>SUM(D50:M50)</f>
      </c>
      <c r="Q50" s="9">
        <f>IF(O50&gt;0,P50/O50,"")</f>
      </c>
      <c r="R50" s="10">
        <f>IF(N50&gt;0,P50-O50,"")</f>
      </c>
      <c r="S50" s="4"/>
    </row>
    <row r="51" spans="1:19" x14ac:dyDescent="0.25">
      <c r="A51" s="27" t="s">
        <v>67</v>
      </c>
      <c r="B51" s="22" t="s">
        <v>68</v>
      </c>
      <c r="C51" s="8">
        <v>499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5">
        <f>COUNT(D51:M51)</f>
      </c>
      <c r="O51" s="8">
        <f>C51*N51</f>
      </c>
      <c r="P51" s="8">
        <f>SUM(D51:M51)</f>
      </c>
      <c r="Q51" s="9">
        <f>IF(O51&gt;0,P51/O51,"")</f>
      </c>
      <c r="R51" s="10">
        <f>IF(N51&gt;0,P51-O51,"")</f>
      </c>
      <c r="S51" s="4"/>
    </row>
    <row r="52" spans="1:19" x14ac:dyDescent="0.25">
      <c r="A52" s="27" t="s">
        <v>67</v>
      </c>
      <c r="B52" s="22" t="s">
        <v>69</v>
      </c>
      <c r="C52" s="8">
        <v>3999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5">
        <f>COUNT(D52:M52)</f>
      </c>
      <c r="O52" s="8">
        <f>C52*N52</f>
      </c>
      <c r="P52" s="8">
        <f>SUM(D52:M52)</f>
      </c>
      <c r="Q52" s="9">
        <f>IF(O52&gt;0,P52/O52,"")</f>
      </c>
      <c r="R52" s="10">
        <f>IF(N52&gt;0,P52-O52,"")</f>
      </c>
      <c r="S52" s="4"/>
    </row>
    <row r="53" spans="1:19" x14ac:dyDescent="0.25">
      <c r="A53" s="27" t="s">
        <v>70</v>
      </c>
      <c r="B53" s="22" t="s">
        <v>71</v>
      </c>
      <c r="C53" s="8">
        <v>149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5">
        <f>COUNT(D53:M53)</f>
      </c>
      <c r="O53" s="8">
        <f>C53*N53</f>
      </c>
      <c r="P53" s="8">
        <f>SUM(D53:M53)</f>
      </c>
      <c r="Q53" s="9">
        <f>IF(O53&gt;0,P53/O53,"")</f>
      </c>
      <c r="R53" s="10">
        <f>IF(N53&gt;0,P53-O53,"")</f>
      </c>
      <c r="S53" s="4"/>
    </row>
    <row r="54" spans="1:19" x14ac:dyDescent="0.25">
      <c r="A54" s="27" t="s">
        <v>70</v>
      </c>
      <c r="B54" s="22" t="s">
        <v>72</v>
      </c>
      <c r="C54" s="8">
        <v>249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5">
        <f>COUNT(D54:M54)</f>
      </c>
      <c r="O54" s="8">
        <f>C54*N54</f>
      </c>
      <c r="P54" s="8">
        <f>SUM(D54:M54)</f>
      </c>
      <c r="Q54" s="9">
        <f>IF(O54&gt;0,P54/O54,"")</f>
      </c>
      <c r="R54" s="10">
        <f>IF(N54&gt;0,P54-O54,"")</f>
      </c>
      <c r="S54" s="4"/>
    </row>
    <row r="55" spans="1:19" x14ac:dyDescent="0.25">
      <c r="A55" s="27" t="s">
        <v>70</v>
      </c>
      <c r="B55" s="22" t="s">
        <v>73</v>
      </c>
      <c r="C55" s="8">
        <v>399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5">
        <f>COUNT(D55:M55)</f>
      </c>
      <c r="O55" s="8">
        <f>C55*N55</f>
      </c>
      <c r="P55" s="8">
        <f>SUM(D55:M55)</f>
      </c>
      <c r="Q55" s="9">
        <f>IF(O55&gt;0,P55/O55,"")</f>
      </c>
      <c r="R55" s="10">
        <f>IF(N55&gt;0,P55-O55,"")</f>
      </c>
      <c r="S55" s="4"/>
    </row>
    <row r="56" spans="1:19" x14ac:dyDescent="0.25">
      <c r="A56" s="27" t="s">
        <v>74</v>
      </c>
      <c r="B56" s="22" t="s">
        <v>75</v>
      </c>
      <c r="C56" s="8">
        <v>249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5">
        <f>COUNT(D56:M56)</f>
      </c>
      <c r="O56" s="8">
        <f>C56*N56</f>
      </c>
      <c r="P56" s="8">
        <f>SUM(D56:M56)</f>
      </c>
      <c r="Q56" s="9">
        <f>IF(O56&gt;0,P56/O56,"")</f>
      </c>
      <c r="R56" s="10">
        <f>IF(N56&gt;0,P56-O56,"")</f>
      </c>
      <c r="S56" s="4"/>
    </row>
    <row r="57" spans="1:19" x14ac:dyDescent="0.25">
      <c r="A57" s="27" t="s">
        <v>76</v>
      </c>
      <c r="B57" s="22" t="s">
        <v>77</v>
      </c>
      <c r="C57" s="8">
        <v>149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5">
        <f>COUNT(D57:M57)</f>
      </c>
      <c r="O57" s="8">
        <f>C57*N57</f>
      </c>
      <c r="P57" s="8">
        <f>SUM(D57:M57)</f>
      </c>
      <c r="Q57" s="9">
        <f>IF(O57&gt;0,P57/O57,"")</f>
      </c>
      <c r="R57" s="10">
        <f>IF(N57&gt;0,P57-O57,"")</f>
      </c>
      <c r="S57" s="4"/>
    </row>
    <row r="58" spans="1:19" x14ac:dyDescent="0.25">
      <c r="A58" s="11"/>
      <c r="B58" s="11" t="s">
        <v>119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>
        <f>SUM(N30:N57)</f>
      </c>
      <c r="O58" s="13">
        <f>SUM(O30:O57)</f>
      </c>
      <c r="P58" s="13">
        <f>SUM(P30:P57)</f>
      </c>
      <c r="Q58" s="14">
        <f>IF(O58&gt;0,P58/O58,"")</f>
      </c>
      <c r="R58" s="15">
        <f>P58-O58</f>
      </c>
      <c r="S58" s="11"/>
    </row>
    <row r="60" spans="2:5" x14ac:dyDescent="0.25">
      <c r="B60" s="35" t="s">
        <v>120</v>
      </c>
      <c r="C60" s="35"/>
      <c r="D60" s="36">
        <f>IF(O58&gt;0,P58/O58,"")</f>
      </c>
      <c r="E60" s="36"/>
    </row>
    <row r="61" spans="2:5" x14ac:dyDescent="0.25">
      <c r="B61" s="35" t="s">
        <v>121</v>
      </c>
      <c r="C61" s="35"/>
      <c r="D61" s="37">
        <f>MAX(0,O58-P58)</f>
      </c>
      <c r="E61" s="37"/>
    </row>
    <row r="62" spans="2:5" x14ac:dyDescent="0.25">
      <c r="B62" s="35" t="s">
        <v>122</v>
      </c>
      <c r="C62" s="35"/>
      <c r="D62" s="36">
        <f>IF(O58&gt;0,MAX(0,1-P58/O58),"")</f>
      </c>
      <c r="E62" s="36"/>
    </row>
    <row r="63" spans="2:5" x14ac:dyDescent="0.25">
      <c r="B63" s="35" t="s">
        <v>123</v>
      </c>
      <c r="C63" s="35"/>
      <c r="D63" s="37">
        <f>MAX(0,P58-O58)</f>
      </c>
      <c r="E63" s="37"/>
    </row>
  </sheetData>
  <mergeCells count="29">
    <mergeCell ref="A1:S1"/>
    <mergeCell ref="F3:H3"/>
    <mergeCell ref="A5:F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A28:S28"/>
    <mergeCell ref="B60:C60"/>
    <mergeCell ref="D60:E60"/>
    <mergeCell ref="B61:C61"/>
    <mergeCell ref="D61:E61"/>
    <mergeCell ref="B62:C62"/>
    <mergeCell ref="D62:E62"/>
    <mergeCell ref="B63:C63"/>
    <mergeCell ref="D63:E63"/>
  </mergeCells>
  <conditionalFormatting sqref="Q30:Q58">
    <cfRule type="cellIs" dxfId="10" priority="1" operator="lessThan">
      <formula>1</formula>
    </cfRule>
    <cfRule type="cellIs" dxfId="11" priority="2" operator="greaterThanOrEqual">
      <formula>1</formula>
    </cfRule>
  </conditionalFormatting>
  <conditionalFormatting sqref="R30:R58">
    <cfRule type="cellIs" dxfId="12" priority="3" operator="lessThan">
      <formula>0</formula>
    </cfRule>
    <cfRule type="cellIs" dxfId="13" priority="4" operator="greaterThan">
      <formula>0</formula>
    </cfRule>
  </conditionalFormatting>
  <dataValidations count="4">
    <dataValidation type="decimal" allowBlank="1" showErrorMessage="1" errorTitle="Оценка от 0 до 10" error="Введите число от 0 до 10" sqref="D10:D22">
      <formula1>0</formula1>
      <formula2>10</formula2>
    </dataValidation>
    <dataValidation type="decimal" operator="greaterThanOrEqual" allowBlank="1" showErrorMessage="1" error="Стоимость дропа — число, ₽" sqref="D30:M57">
      <formula1>0</formula1>
    </dataValidation>
    <dataValidation type="decimal" allowBlank="1" showErrorMessage="1" errorTitle="Оценка от 0 до 10" error="Введите число от 0 до 10" sqref="D7:D22">
      <formula1>0</formula1>
      <formula2>10</formula2>
    </dataValidation>
    <dataValidation type="list" allowBlank="1" sqref="F3">
      <formula1>"Компьютер,Телефон,Планшет"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C76B"/>
  </sheetPr>
  <dimension ref="A1:S63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46" customWidth="1"/>
    <col min="15" max="18" width="13" customWidth="1"/>
    <col min="19" max="19" width="30" customWidth="1"/>
  </cols>
  <sheetData>
    <row r="1" ht="34" customHeight="1" spans="1:19" x14ac:dyDescent="0.25">
      <c r="A1" s="23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" x14ac:dyDescent="0.25">
      <c r="A2" s="2" t="s">
        <v>79</v>
      </c>
    </row>
    <row r="3" spans="1:8" x14ac:dyDescent="0.25">
      <c r="A3" s="24" t="s">
        <v>80</v>
      </c>
      <c r="B3" s="4"/>
      <c r="C3" s="24" t="s">
        <v>81</v>
      </c>
      <c r="D3" s="25"/>
      <c r="E3" s="24" t="s">
        <v>82</v>
      </c>
      <c r="F3" s="4"/>
      <c r="G3" s="4"/>
      <c r="H3" s="4"/>
    </row>
    <row r="5" spans="1:6" x14ac:dyDescent="0.25">
      <c r="A5" s="20" t="s">
        <v>83</v>
      </c>
      <c r="B5" s="20"/>
      <c r="C5" s="20"/>
      <c r="D5" s="20"/>
      <c r="E5" s="20"/>
      <c r="F5" s="20"/>
    </row>
    <row r="6" spans="1:9" x14ac:dyDescent="0.25">
      <c r="A6" s="26" t="s">
        <v>84</v>
      </c>
      <c r="B6" s="26" t="s">
        <v>85</v>
      </c>
      <c r="C6" s="26" t="s">
        <v>86</v>
      </c>
      <c r="D6" s="26" t="s">
        <v>87</v>
      </c>
      <c r="E6" s="26" t="s">
        <v>88</v>
      </c>
      <c r="F6" s="26"/>
      <c r="G6" s="26"/>
      <c r="H6" s="26"/>
      <c r="I6" s="26"/>
    </row>
    <row r="7" spans="1:9" x14ac:dyDescent="0.25">
      <c r="A7" s="5">
        <v>1</v>
      </c>
      <c r="B7" s="22" t="s">
        <v>4</v>
      </c>
      <c r="C7" s="27" t="s">
        <v>89</v>
      </c>
      <c r="D7" s="28"/>
      <c r="E7" s="4"/>
      <c r="F7" s="4"/>
      <c r="G7" s="4"/>
      <c r="H7" s="4"/>
      <c r="I7" s="4"/>
    </row>
    <row r="8" spans="1:9" x14ac:dyDescent="0.25">
      <c r="A8" s="5">
        <v>2</v>
      </c>
      <c r="B8" s="22" t="s">
        <v>5</v>
      </c>
      <c r="C8" s="27" t="s">
        <v>90</v>
      </c>
      <c r="D8" s="28"/>
      <c r="E8" s="4"/>
      <c r="F8" s="4"/>
      <c r="G8" s="4"/>
      <c r="H8" s="4"/>
      <c r="I8" s="4"/>
    </row>
    <row r="9" spans="1:9" x14ac:dyDescent="0.25">
      <c r="A9" s="5">
        <v>3</v>
      </c>
      <c r="B9" s="22" t="s">
        <v>6</v>
      </c>
      <c r="C9" s="27" t="s">
        <v>91</v>
      </c>
      <c r="D9" s="28"/>
      <c r="E9" s="4"/>
      <c r="F9" s="4"/>
      <c r="G9" s="4"/>
      <c r="H9" s="4"/>
      <c r="I9" s="4"/>
    </row>
    <row r="10" spans="1:9" x14ac:dyDescent="0.25">
      <c r="A10" s="5">
        <v>4</v>
      </c>
      <c r="B10" s="22" t="s">
        <v>7</v>
      </c>
      <c r="C10" s="27" t="s">
        <v>92</v>
      </c>
      <c r="D10" s="28"/>
      <c r="E10" s="4"/>
      <c r="F10" s="4"/>
      <c r="G10" s="4"/>
      <c r="H10" s="4"/>
      <c r="I10" s="4"/>
    </row>
    <row r="11" spans="1:9" x14ac:dyDescent="0.25">
      <c r="A11" s="5">
        <v>5</v>
      </c>
      <c r="B11" s="22" t="s">
        <v>8</v>
      </c>
      <c r="C11" s="27" t="s">
        <v>93</v>
      </c>
      <c r="D11" s="28"/>
      <c r="E11" s="4"/>
      <c r="F11" s="4"/>
      <c r="G11" s="4"/>
      <c r="H11" s="4"/>
      <c r="I11" s="4"/>
    </row>
    <row r="12" spans="1:9" x14ac:dyDescent="0.25">
      <c r="A12" s="5">
        <v>6</v>
      </c>
      <c r="B12" s="22" t="s">
        <v>9</v>
      </c>
      <c r="C12" s="27" t="s">
        <v>94</v>
      </c>
      <c r="D12" s="28"/>
      <c r="E12" s="4"/>
      <c r="F12" s="4"/>
      <c r="G12" s="4"/>
      <c r="H12" s="4"/>
      <c r="I12" s="4"/>
    </row>
    <row r="13" spans="1:9" x14ac:dyDescent="0.25">
      <c r="A13" s="5">
        <v>7</v>
      </c>
      <c r="B13" s="22" t="s">
        <v>10</v>
      </c>
      <c r="C13" s="27" t="s">
        <v>95</v>
      </c>
      <c r="D13" s="28"/>
      <c r="E13" s="4"/>
      <c r="F13" s="4"/>
      <c r="G13" s="4"/>
      <c r="H13" s="4"/>
      <c r="I13" s="4"/>
    </row>
    <row r="14" spans="1:9" x14ac:dyDescent="0.25">
      <c r="A14" s="5">
        <v>8</v>
      </c>
      <c r="B14" s="22" t="s">
        <v>11</v>
      </c>
      <c r="C14" s="27" t="s">
        <v>96</v>
      </c>
      <c r="D14" s="28"/>
      <c r="E14" s="4"/>
      <c r="F14" s="4"/>
      <c r="G14" s="4"/>
      <c r="H14" s="4"/>
      <c r="I14" s="4"/>
    </row>
    <row r="15" spans="1:9" x14ac:dyDescent="0.25">
      <c r="A15" s="5">
        <v>9</v>
      </c>
      <c r="B15" s="22" t="s">
        <v>12</v>
      </c>
      <c r="C15" s="27" t="s">
        <v>97</v>
      </c>
      <c r="D15" s="28"/>
      <c r="E15" s="4"/>
      <c r="F15" s="4"/>
      <c r="G15" s="4"/>
      <c r="H15" s="4"/>
      <c r="I15" s="4"/>
    </row>
    <row r="16" spans="1:9" x14ac:dyDescent="0.25">
      <c r="A16" s="5">
        <v>10</v>
      </c>
      <c r="B16" s="22" t="s">
        <v>13</v>
      </c>
      <c r="C16" s="27" t="s">
        <v>98</v>
      </c>
      <c r="D16" s="28"/>
      <c r="E16" s="4"/>
      <c r="F16" s="4"/>
      <c r="G16" s="4"/>
      <c r="H16" s="4"/>
      <c r="I16" s="4"/>
    </row>
    <row r="17" spans="1:9" x14ac:dyDescent="0.25">
      <c r="A17" s="5">
        <v>11</v>
      </c>
      <c r="B17" s="22" t="s">
        <v>14</v>
      </c>
      <c r="C17" s="27" t="s">
        <v>99</v>
      </c>
      <c r="D17" s="28"/>
      <c r="E17" s="4"/>
      <c r="F17" s="4"/>
      <c r="G17" s="4"/>
      <c r="H17" s="4"/>
      <c r="I17" s="4"/>
    </row>
    <row r="18" spans="1:9" x14ac:dyDescent="0.25">
      <c r="A18" s="5">
        <v>12</v>
      </c>
      <c r="B18" s="22" t="s">
        <v>15</v>
      </c>
      <c r="C18" s="27" t="s">
        <v>100</v>
      </c>
      <c r="D18" s="28"/>
      <c r="E18" s="4"/>
      <c r="F18" s="4"/>
      <c r="G18" s="4"/>
      <c r="H18" s="4"/>
      <c r="I18" s="4"/>
    </row>
    <row r="19" spans="1:9" x14ac:dyDescent="0.25">
      <c r="A19" s="5">
        <v>13</v>
      </c>
      <c r="B19" s="22" t="s">
        <v>16</v>
      </c>
      <c r="C19" s="27" t="s">
        <v>101</v>
      </c>
      <c r="D19" s="28"/>
      <c r="E19" s="4"/>
      <c r="F19" s="4"/>
      <c r="G19" s="4"/>
      <c r="H19" s="4"/>
      <c r="I19" s="4"/>
    </row>
    <row r="20" spans="1:9" x14ac:dyDescent="0.25">
      <c r="A20" s="5">
        <v>14</v>
      </c>
      <c r="B20" s="22" t="s">
        <v>17</v>
      </c>
      <c r="C20" s="27" t="s">
        <v>102</v>
      </c>
      <c r="D20" s="28"/>
      <c r="E20" s="4"/>
      <c r="F20" s="4"/>
      <c r="G20" s="4"/>
      <c r="H20" s="4"/>
      <c r="I20" s="4"/>
    </row>
    <row r="21" spans="1:9" x14ac:dyDescent="0.25">
      <c r="A21" s="5">
        <v>15</v>
      </c>
      <c r="B21" s="22" t="s">
        <v>18</v>
      </c>
      <c r="C21" s="27" t="s">
        <v>103</v>
      </c>
      <c r="D21" s="28"/>
      <c r="E21" s="4"/>
      <c r="F21" s="4"/>
      <c r="G21" s="4"/>
      <c r="H21" s="4"/>
      <c r="I21" s="4"/>
    </row>
    <row r="22" spans="1:9" x14ac:dyDescent="0.25">
      <c r="A22" s="5">
        <v>16</v>
      </c>
      <c r="B22" s="22" t="s">
        <v>19</v>
      </c>
      <c r="C22" s="27" t="s">
        <v>104</v>
      </c>
      <c r="D22" s="28"/>
      <c r="E22" s="4"/>
      <c r="F22" s="4"/>
      <c r="G22" s="4"/>
      <c r="H22" s="4"/>
      <c r="I22" s="4"/>
    </row>
    <row r="24" spans="2:4" x14ac:dyDescent="0.25">
      <c r="B24" s="29" t="s">
        <v>105</v>
      </c>
      <c r="C24" s="30">
        <f>IF(D24="","",IF(D24&gt;=9,"Отлично",IF(D24&gt;=7,"Хорошо",IF(D24&gt;=5,"Средне","Плохо"))))</f>
      </c>
      <c r="D24" s="31">
        <f>IF(COUNT(D7:D22)=0,"",ROUND(AVERAGE(D7:D22),1))</f>
      </c>
    </row>
    <row r="25" spans="2:4" x14ac:dyDescent="0.25">
      <c r="B25" t="s">
        <v>106</v>
      </c>
      <c r="D25" s="32">
        <f>COUNT(D7:D22)&amp;" из 16"</f>
      </c>
    </row>
    <row r="28" spans="1:19" x14ac:dyDescent="0.25">
      <c r="A28" s="20" t="s">
        <v>107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30" customHeight="1" spans="1:19" x14ac:dyDescent="0.25">
      <c r="A29" s="33" t="s">
        <v>37</v>
      </c>
      <c r="B29" s="33" t="s">
        <v>38</v>
      </c>
      <c r="C29" s="33" t="s">
        <v>108</v>
      </c>
      <c r="D29" s="33" t="s">
        <v>109</v>
      </c>
      <c r="E29" s="33" t="s">
        <v>110</v>
      </c>
      <c r="F29" s="33" t="s">
        <v>111</v>
      </c>
      <c r="G29" s="33" t="s">
        <v>112</v>
      </c>
      <c r="H29" s="33" t="s">
        <v>113</v>
      </c>
      <c r="I29" s="33" t="s">
        <v>114</v>
      </c>
      <c r="J29" s="33" t="s">
        <v>115</v>
      </c>
      <c r="K29" s="33" t="s">
        <v>116</v>
      </c>
      <c r="L29" s="33" t="s">
        <v>117</v>
      </c>
      <c r="M29" s="33" t="s">
        <v>118</v>
      </c>
      <c r="N29" s="33" t="s">
        <v>40</v>
      </c>
      <c r="O29" s="33" t="s">
        <v>22</v>
      </c>
      <c r="P29" s="33" t="s">
        <v>23</v>
      </c>
      <c r="Q29" s="33" t="s">
        <v>24</v>
      </c>
      <c r="R29" s="33" t="s">
        <v>25</v>
      </c>
      <c r="S29" s="33" t="s">
        <v>88</v>
      </c>
    </row>
    <row r="30" spans="1:19" x14ac:dyDescent="0.25">
      <c r="A30" s="27" t="s">
        <v>41</v>
      </c>
      <c r="B30" s="22" t="s">
        <v>42</v>
      </c>
      <c r="C30" s="8">
        <v>29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5">
        <f>COUNT(D30:M30)</f>
      </c>
      <c r="O30" s="8">
        <f>C30*N30</f>
      </c>
      <c r="P30" s="8">
        <f>SUM(D30:M30)</f>
      </c>
      <c r="Q30" s="9">
        <f>IF(O30&gt;0,P30/O30,"")</f>
      </c>
      <c r="R30" s="10">
        <f>IF(N30&gt;0,P30-O30,"")</f>
      </c>
      <c r="S30" s="4"/>
    </row>
    <row r="31" spans="1:19" x14ac:dyDescent="0.25">
      <c r="A31" s="27" t="s">
        <v>41</v>
      </c>
      <c r="B31" s="22" t="s">
        <v>43</v>
      </c>
      <c r="C31" s="8">
        <v>379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5">
        <f>COUNT(D31:M31)</f>
      </c>
      <c r="O31" s="8">
        <f>C31*N31</f>
      </c>
      <c r="P31" s="8">
        <f>SUM(D31:M31)</f>
      </c>
      <c r="Q31" s="9">
        <f>IF(O31&gt;0,P31/O31,"")</f>
      </c>
      <c r="R31" s="10">
        <f>IF(N31&gt;0,P31-O31,"")</f>
      </c>
      <c r="S31" s="4"/>
    </row>
    <row r="32" spans="1:19" x14ac:dyDescent="0.25">
      <c r="A32" s="27" t="s">
        <v>41</v>
      </c>
      <c r="B32" s="22" t="s">
        <v>44</v>
      </c>
      <c r="C32" s="8">
        <v>819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5">
        <f>COUNT(D32:M32)</f>
      </c>
      <c r="O32" s="8">
        <f>C32*N32</f>
      </c>
      <c r="P32" s="8">
        <f>SUM(D32:M32)</f>
      </c>
      <c r="Q32" s="9">
        <f>IF(O32&gt;0,P32/O32,"")</f>
      </c>
      <c r="R32" s="10">
        <f>IF(N32&gt;0,P32-O32,"")</f>
      </c>
      <c r="S32" s="4"/>
    </row>
    <row r="33" spans="1:19" x14ac:dyDescent="0.25">
      <c r="A33" s="27" t="s">
        <v>41</v>
      </c>
      <c r="B33" s="22" t="s">
        <v>45</v>
      </c>
      <c r="C33" s="8">
        <v>169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5">
        <f>COUNT(D33:M33)</f>
      </c>
      <c r="O33" s="8">
        <f>C33*N33</f>
      </c>
      <c r="P33" s="8">
        <f>SUM(D33:M33)</f>
      </c>
      <c r="Q33" s="9">
        <f>IF(O33&gt;0,P33/O33,"")</f>
      </c>
      <c r="R33" s="10">
        <f>IF(N33&gt;0,P33-O33,"")</f>
      </c>
      <c r="S33" s="4"/>
    </row>
    <row r="34" spans="1:19" x14ac:dyDescent="0.25">
      <c r="A34" s="27" t="s">
        <v>41</v>
      </c>
      <c r="B34" s="22" t="s">
        <v>46</v>
      </c>
      <c r="C34" s="8">
        <v>59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5">
        <f>COUNT(D34:M34)</f>
      </c>
      <c r="O34" s="8">
        <f>C34*N34</f>
      </c>
      <c r="P34" s="8">
        <f>SUM(D34:M34)</f>
      </c>
      <c r="Q34" s="9">
        <f>IF(O34&gt;0,P34/O34,"")</f>
      </c>
      <c r="R34" s="10">
        <f>IF(N34&gt;0,P34-O34,"")</f>
      </c>
      <c r="S34" s="4"/>
    </row>
    <row r="35" spans="1:19" x14ac:dyDescent="0.25">
      <c r="A35" s="27" t="s">
        <v>41</v>
      </c>
      <c r="B35" s="22" t="s">
        <v>47</v>
      </c>
      <c r="C35" s="8">
        <v>199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5">
        <f>COUNT(D35:M35)</f>
      </c>
      <c r="O35" s="8">
        <f>C35*N35</f>
      </c>
      <c r="P35" s="8">
        <f>SUM(D35:M35)</f>
      </c>
      <c r="Q35" s="9">
        <f>IF(O35&gt;0,P35/O35,"")</f>
      </c>
      <c r="R35" s="10">
        <f>IF(N35&gt;0,P35-O35,"")</f>
      </c>
      <c r="S35" s="4"/>
    </row>
    <row r="36" spans="1:19" x14ac:dyDescent="0.25">
      <c r="A36" s="27" t="s">
        <v>48</v>
      </c>
      <c r="B36" s="22" t="s">
        <v>49</v>
      </c>
      <c r="C36" s="8">
        <v>169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5">
        <f>COUNT(D36:M36)</f>
      </c>
      <c r="O36" s="8">
        <f>C36*N36</f>
      </c>
      <c r="P36" s="8">
        <f>SUM(D36:M36)</f>
      </c>
      <c r="Q36" s="9">
        <f>IF(O36&gt;0,P36/O36,"")</f>
      </c>
      <c r="R36" s="10">
        <f>IF(N36&gt;0,P36-O36,"")</f>
      </c>
      <c r="S36" s="4"/>
    </row>
    <row r="37" spans="1:19" x14ac:dyDescent="0.25">
      <c r="A37" s="27" t="s">
        <v>48</v>
      </c>
      <c r="B37" s="22" t="s">
        <v>50</v>
      </c>
      <c r="C37" s="8">
        <v>245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5">
        <f>COUNT(D37:M37)</f>
      </c>
      <c r="O37" s="8">
        <f>C37*N37</f>
      </c>
      <c r="P37" s="8">
        <f>SUM(D37:M37)</f>
      </c>
      <c r="Q37" s="9">
        <f>IF(O37&gt;0,P37/O37,"")</f>
      </c>
      <c r="R37" s="10">
        <f>IF(N37&gt;0,P37-O37,"")</f>
      </c>
      <c r="S37" s="4"/>
    </row>
    <row r="38" spans="1:19" x14ac:dyDescent="0.25">
      <c r="A38" s="27" t="s">
        <v>48</v>
      </c>
      <c r="B38" s="22" t="s">
        <v>51</v>
      </c>
      <c r="C38" s="8">
        <v>322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5">
        <f>COUNT(D38:M38)</f>
      </c>
      <c r="O38" s="8">
        <f>C38*N38</f>
      </c>
      <c r="P38" s="8">
        <f>SUM(D38:M38)</f>
      </c>
      <c r="Q38" s="9">
        <f>IF(O38&gt;0,P38/O38,"")</f>
      </c>
      <c r="R38" s="10">
        <f>IF(N38&gt;0,P38-O38,"")</f>
      </c>
      <c r="S38" s="4"/>
    </row>
    <row r="39" spans="1:19" x14ac:dyDescent="0.25">
      <c r="A39" s="27" t="s">
        <v>48</v>
      </c>
      <c r="B39" s="22" t="s">
        <v>52</v>
      </c>
      <c r="C39" s="8">
        <v>666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5">
        <f>COUNT(D39:M39)</f>
      </c>
      <c r="O39" s="8">
        <f>C39*N39</f>
      </c>
      <c r="P39" s="8">
        <f>SUM(D39:M39)</f>
      </c>
      <c r="Q39" s="9">
        <f>IF(O39&gt;0,P39/O39,"")</f>
      </c>
      <c r="R39" s="10">
        <f>IF(N39&gt;0,P39-O39,"")</f>
      </c>
      <c r="S39" s="4"/>
    </row>
    <row r="40" spans="1:19" x14ac:dyDescent="0.25">
      <c r="A40" s="27" t="s">
        <v>53</v>
      </c>
      <c r="B40" s="22" t="s">
        <v>54</v>
      </c>
      <c r="C40" s="8">
        <v>249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5">
        <f>COUNT(D40:M40)</f>
      </c>
      <c r="O40" s="8">
        <f>C40*N40</f>
      </c>
      <c r="P40" s="8">
        <f>SUM(D40:M40)</f>
      </c>
      <c r="Q40" s="9">
        <f>IF(O40&gt;0,P40/O40,"")</f>
      </c>
      <c r="R40" s="10">
        <f>IF(N40&gt;0,P40-O40,"")</f>
      </c>
      <c r="S40" s="4"/>
    </row>
    <row r="41" spans="1:19" x14ac:dyDescent="0.25">
      <c r="A41" s="27" t="s">
        <v>53</v>
      </c>
      <c r="B41" s="22" t="s">
        <v>55</v>
      </c>
      <c r="C41" s="8">
        <v>299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5">
        <f>COUNT(D41:M41)</f>
      </c>
      <c r="O41" s="8">
        <f>C41*N41</f>
      </c>
      <c r="P41" s="8">
        <f>SUM(D41:M41)</f>
      </c>
      <c r="Q41" s="9">
        <f>IF(O41&gt;0,P41/O41,"")</f>
      </c>
      <c r="R41" s="10">
        <f>IF(N41&gt;0,P41-O41,"")</f>
      </c>
      <c r="S41" s="4"/>
    </row>
    <row r="42" spans="1:19" x14ac:dyDescent="0.25">
      <c r="A42" s="27" t="s">
        <v>53</v>
      </c>
      <c r="B42" s="22" t="s">
        <v>56</v>
      </c>
      <c r="C42" s="8">
        <v>299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5">
        <f>COUNT(D42:M42)</f>
      </c>
      <c r="O42" s="8">
        <f>C42*N42</f>
      </c>
      <c r="P42" s="8">
        <f>SUM(D42:M42)</f>
      </c>
      <c r="Q42" s="9">
        <f>IF(O42&gt;0,P42/O42,"")</f>
      </c>
      <c r="R42" s="10">
        <f>IF(N42&gt;0,P42-O42,"")</f>
      </c>
      <c r="S42" s="4"/>
    </row>
    <row r="43" spans="1:19" x14ac:dyDescent="0.25">
      <c r="A43" s="27" t="s">
        <v>53</v>
      </c>
      <c r="B43" s="22" t="s">
        <v>57</v>
      </c>
      <c r="C43" s="8">
        <v>349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">
        <f>COUNT(D43:M43)</f>
      </c>
      <c r="O43" s="8">
        <f>C43*N43</f>
      </c>
      <c r="P43" s="8">
        <f>SUM(D43:M43)</f>
      </c>
      <c r="Q43" s="9">
        <f>IF(O43&gt;0,P43/O43,"")</f>
      </c>
      <c r="R43" s="10">
        <f>IF(N43&gt;0,P43-O43,"")</f>
      </c>
      <c r="S43" s="4"/>
    </row>
    <row r="44" spans="1:19" x14ac:dyDescent="0.25">
      <c r="A44" s="27" t="s">
        <v>53</v>
      </c>
      <c r="B44" s="22" t="s">
        <v>58</v>
      </c>
      <c r="C44" s="8">
        <v>349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5">
        <f>COUNT(D44:M44)</f>
      </c>
      <c r="O44" s="8">
        <f>C44*N44</f>
      </c>
      <c r="P44" s="8">
        <f>SUM(D44:M44)</f>
      </c>
      <c r="Q44" s="9">
        <f>IF(O44&gt;0,P44/O44,"")</f>
      </c>
      <c r="R44" s="10">
        <f>IF(N44&gt;0,P44-O44,"")</f>
      </c>
      <c r="S44" s="4"/>
    </row>
    <row r="45" spans="1:19" x14ac:dyDescent="0.25">
      <c r="A45" s="27" t="s">
        <v>53</v>
      </c>
      <c r="B45" s="22" t="s">
        <v>59</v>
      </c>
      <c r="C45" s="8">
        <v>499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5">
        <f>COUNT(D45:M45)</f>
      </c>
      <c r="O45" s="8">
        <f>C45*N45</f>
      </c>
      <c r="P45" s="8">
        <f>SUM(D45:M45)</f>
      </c>
      <c r="Q45" s="9">
        <f>IF(O45&gt;0,P45/O45,"")</f>
      </c>
      <c r="R45" s="10">
        <f>IF(N45&gt;0,P45-O45,"")</f>
      </c>
      <c r="S45" s="4"/>
    </row>
    <row r="46" spans="1:19" x14ac:dyDescent="0.25">
      <c r="A46" s="27" t="s">
        <v>60</v>
      </c>
      <c r="B46" s="22" t="s">
        <v>61</v>
      </c>
      <c r="C46" s="8">
        <v>15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5">
        <f>COUNT(D46:M46)</f>
      </c>
      <c r="O46" s="8">
        <f>C46*N46</f>
      </c>
      <c r="P46" s="8">
        <f>SUM(D46:M46)</f>
      </c>
      <c r="Q46" s="9">
        <f>IF(O46&gt;0,P46/O46,"")</f>
      </c>
      <c r="R46" s="10">
        <f>IF(N46&gt;0,P46-O46,"")</f>
      </c>
      <c r="S46" s="4"/>
    </row>
    <row r="47" spans="1:19" x14ac:dyDescent="0.25">
      <c r="A47" s="27" t="s">
        <v>60</v>
      </c>
      <c r="B47" s="22" t="s">
        <v>62</v>
      </c>
      <c r="C47" s="8">
        <v>60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5">
        <f>COUNT(D47:M47)</f>
      </c>
      <c r="O47" s="8">
        <f>C47*N47</f>
      </c>
      <c r="P47" s="8">
        <f>SUM(D47:M47)</f>
      </c>
      <c r="Q47" s="9">
        <f>IF(O47&gt;0,P47/O47,"")</f>
      </c>
      <c r="R47" s="10">
        <f>IF(N47&gt;0,P47-O47,"")</f>
      </c>
      <c r="S47" s="4"/>
    </row>
    <row r="48" spans="1:19" x14ac:dyDescent="0.25">
      <c r="A48" s="27" t="s">
        <v>63</v>
      </c>
      <c r="B48" s="22" t="s">
        <v>64</v>
      </c>
      <c r="C48" s="8">
        <v>3549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5">
        <f>COUNT(D48:M48)</f>
      </c>
      <c r="O48" s="8">
        <f>C48*N48</f>
      </c>
      <c r="P48" s="8">
        <f>SUM(D48:M48)</f>
      </c>
      <c r="Q48" s="9">
        <f>IF(O48&gt;0,P48/O48,"")</f>
      </c>
      <c r="R48" s="10">
        <f>IF(N48&gt;0,P48-O48,"")</f>
      </c>
      <c r="S48" s="4"/>
    </row>
    <row r="49" spans="1:19" x14ac:dyDescent="0.25">
      <c r="A49" s="27" t="s">
        <v>63</v>
      </c>
      <c r="B49" s="22" t="s">
        <v>65</v>
      </c>
      <c r="C49" s="8">
        <v>39999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5">
        <f>COUNT(D49:M49)</f>
      </c>
      <c r="O49" s="8">
        <f>C49*N49</f>
      </c>
      <c r="P49" s="8">
        <f>SUM(D49:M49)</f>
      </c>
      <c r="Q49" s="9">
        <f>IF(O49&gt;0,P49/O49,"")</f>
      </c>
      <c r="R49" s="10">
        <f>IF(N49&gt;0,P49-O49,"")</f>
      </c>
      <c r="S49" s="4"/>
    </row>
    <row r="50" spans="1:19" x14ac:dyDescent="0.25">
      <c r="A50" s="27" t="s">
        <v>63</v>
      </c>
      <c r="B50" s="22" t="s">
        <v>66</v>
      </c>
      <c r="C50" s="8">
        <v>89999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5">
        <f>COUNT(D50:M50)</f>
      </c>
      <c r="O50" s="8">
        <f>C50*N50</f>
      </c>
      <c r="P50" s="8">
        <f>SUM(D50:M50)</f>
      </c>
      <c r="Q50" s="9">
        <f>IF(O50&gt;0,P50/O50,"")</f>
      </c>
      <c r="R50" s="10">
        <f>IF(N50&gt;0,P50-O50,"")</f>
      </c>
      <c r="S50" s="4"/>
    </row>
    <row r="51" spans="1:19" x14ac:dyDescent="0.25">
      <c r="A51" s="27" t="s">
        <v>67</v>
      </c>
      <c r="B51" s="22" t="s">
        <v>68</v>
      </c>
      <c r="C51" s="8">
        <v>499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5">
        <f>COUNT(D51:M51)</f>
      </c>
      <c r="O51" s="8">
        <f>C51*N51</f>
      </c>
      <c r="P51" s="8">
        <f>SUM(D51:M51)</f>
      </c>
      <c r="Q51" s="9">
        <f>IF(O51&gt;0,P51/O51,"")</f>
      </c>
      <c r="R51" s="10">
        <f>IF(N51&gt;0,P51-O51,"")</f>
      </c>
      <c r="S51" s="4"/>
    </row>
    <row r="52" spans="1:19" x14ac:dyDescent="0.25">
      <c r="A52" s="27" t="s">
        <v>67</v>
      </c>
      <c r="B52" s="22" t="s">
        <v>69</v>
      </c>
      <c r="C52" s="8">
        <v>3999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5">
        <f>COUNT(D52:M52)</f>
      </c>
      <c r="O52" s="8">
        <f>C52*N52</f>
      </c>
      <c r="P52" s="8">
        <f>SUM(D52:M52)</f>
      </c>
      <c r="Q52" s="9">
        <f>IF(O52&gt;0,P52/O52,"")</f>
      </c>
      <c r="R52" s="10">
        <f>IF(N52&gt;0,P52-O52,"")</f>
      </c>
      <c r="S52" s="4"/>
    </row>
    <row r="53" spans="1:19" x14ac:dyDescent="0.25">
      <c r="A53" s="27" t="s">
        <v>70</v>
      </c>
      <c r="B53" s="22" t="s">
        <v>71</v>
      </c>
      <c r="C53" s="8">
        <v>149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5">
        <f>COUNT(D53:M53)</f>
      </c>
      <c r="O53" s="8">
        <f>C53*N53</f>
      </c>
      <c r="P53" s="8">
        <f>SUM(D53:M53)</f>
      </c>
      <c r="Q53" s="9">
        <f>IF(O53&gt;0,P53/O53,"")</f>
      </c>
      <c r="R53" s="10">
        <f>IF(N53&gt;0,P53-O53,"")</f>
      </c>
      <c r="S53" s="4"/>
    </row>
    <row r="54" spans="1:19" x14ac:dyDescent="0.25">
      <c r="A54" s="27" t="s">
        <v>70</v>
      </c>
      <c r="B54" s="22" t="s">
        <v>72</v>
      </c>
      <c r="C54" s="8">
        <v>249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5">
        <f>COUNT(D54:M54)</f>
      </c>
      <c r="O54" s="8">
        <f>C54*N54</f>
      </c>
      <c r="P54" s="8">
        <f>SUM(D54:M54)</f>
      </c>
      <c r="Q54" s="9">
        <f>IF(O54&gt;0,P54/O54,"")</f>
      </c>
      <c r="R54" s="10">
        <f>IF(N54&gt;0,P54-O54,"")</f>
      </c>
      <c r="S54" s="4"/>
    </row>
    <row r="55" spans="1:19" x14ac:dyDescent="0.25">
      <c r="A55" s="27" t="s">
        <v>70</v>
      </c>
      <c r="B55" s="22" t="s">
        <v>73</v>
      </c>
      <c r="C55" s="8">
        <v>399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5">
        <f>COUNT(D55:M55)</f>
      </c>
      <c r="O55" s="8">
        <f>C55*N55</f>
      </c>
      <c r="P55" s="8">
        <f>SUM(D55:M55)</f>
      </c>
      <c r="Q55" s="9">
        <f>IF(O55&gt;0,P55/O55,"")</f>
      </c>
      <c r="R55" s="10">
        <f>IF(N55&gt;0,P55-O55,"")</f>
      </c>
      <c r="S55" s="4"/>
    </row>
    <row r="56" spans="1:19" x14ac:dyDescent="0.25">
      <c r="A56" s="27" t="s">
        <v>74</v>
      </c>
      <c r="B56" s="22" t="s">
        <v>75</v>
      </c>
      <c r="C56" s="8">
        <v>249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5">
        <f>COUNT(D56:M56)</f>
      </c>
      <c r="O56" s="8">
        <f>C56*N56</f>
      </c>
      <c r="P56" s="8">
        <f>SUM(D56:M56)</f>
      </c>
      <c r="Q56" s="9">
        <f>IF(O56&gt;0,P56/O56,"")</f>
      </c>
      <c r="R56" s="10">
        <f>IF(N56&gt;0,P56-O56,"")</f>
      </c>
      <c r="S56" s="4"/>
    </row>
    <row r="57" spans="1:19" x14ac:dyDescent="0.25">
      <c r="A57" s="27" t="s">
        <v>76</v>
      </c>
      <c r="B57" s="22" t="s">
        <v>77</v>
      </c>
      <c r="C57" s="8">
        <v>149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5">
        <f>COUNT(D57:M57)</f>
      </c>
      <c r="O57" s="8">
        <f>C57*N57</f>
      </c>
      <c r="P57" s="8">
        <f>SUM(D57:M57)</f>
      </c>
      <c r="Q57" s="9">
        <f>IF(O57&gt;0,P57/O57,"")</f>
      </c>
      <c r="R57" s="10">
        <f>IF(N57&gt;0,P57-O57,"")</f>
      </c>
      <c r="S57" s="4"/>
    </row>
    <row r="58" spans="1:19" x14ac:dyDescent="0.25">
      <c r="A58" s="11"/>
      <c r="B58" s="11" t="s">
        <v>119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>
        <f>SUM(N30:N57)</f>
      </c>
      <c r="O58" s="13">
        <f>SUM(O30:O57)</f>
      </c>
      <c r="P58" s="13">
        <f>SUM(P30:P57)</f>
      </c>
      <c r="Q58" s="14">
        <f>IF(O58&gt;0,P58/O58,"")</f>
      </c>
      <c r="R58" s="15">
        <f>P58-O58</f>
      </c>
      <c r="S58" s="11"/>
    </row>
    <row r="60" spans="2:5" x14ac:dyDescent="0.25">
      <c r="B60" s="35" t="s">
        <v>120</v>
      </c>
      <c r="C60" s="35"/>
      <c r="D60" s="36">
        <f>IF(O58&gt;0,P58/O58,"")</f>
      </c>
      <c r="E60" s="36"/>
    </row>
    <row r="61" spans="2:5" x14ac:dyDescent="0.25">
      <c r="B61" s="35" t="s">
        <v>121</v>
      </c>
      <c r="C61" s="35"/>
      <c r="D61" s="37">
        <f>MAX(0,O58-P58)</f>
      </c>
      <c r="E61" s="37"/>
    </row>
    <row r="62" spans="2:5" x14ac:dyDescent="0.25">
      <c r="B62" s="35" t="s">
        <v>122</v>
      </c>
      <c r="C62" s="35"/>
      <c r="D62" s="36">
        <f>IF(O58&gt;0,MAX(0,1-P58/O58),"")</f>
      </c>
      <c r="E62" s="36"/>
    </row>
    <row r="63" spans="2:5" x14ac:dyDescent="0.25">
      <c r="B63" s="35" t="s">
        <v>123</v>
      </c>
      <c r="C63" s="35"/>
      <c r="D63" s="37">
        <f>MAX(0,P58-O58)</f>
      </c>
      <c r="E63" s="37"/>
    </row>
  </sheetData>
  <mergeCells count="29">
    <mergeCell ref="A1:S1"/>
    <mergeCell ref="F3:H3"/>
    <mergeCell ref="A5:F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A28:S28"/>
    <mergeCell ref="B60:C60"/>
    <mergeCell ref="D60:E60"/>
    <mergeCell ref="B61:C61"/>
    <mergeCell ref="D61:E61"/>
    <mergeCell ref="B62:C62"/>
    <mergeCell ref="D62:E62"/>
    <mergeCell ref="B63:C63"/>
    <mergeCell ref="D63:E63"/>
  </mergeCells>
  <conditionalFormatting sqref="Q30:Q58">
    <cfRule type="cellIs" dxfId="14" priority="1" operator="lessThan">
      <formula>1</formula>
    </cfRule>
    <cfRule type="cellIs" dxfId="15" priority="2" operator="greaterThanOrEqual">
      <formula>1</formula>
    </cfRule>
  </conditionalFormatting>
  <conditionalFormatting sqref="R30:R58">
    <cfRule type="cellIs" dxfId="16" priority="3" operator="lessThan">
      <formula>0</formula>
    </cfRule>
    <cfRule type="cellIs" dxfId="17" priority="4" operator="greaterThan">
      <formula>0</formula>
    </cfRule>
  </conditionalFormatting>
  <dataValidations count="4">
    <dataValidation type="decimal" allowBlank="1" showErrorMessage="1" errorTitle="Оценка от 0 до 10" error="Введите число от 0 до 10" sqref="D10:D22">
      <formula1>0</formula1>
      <formula2>10</formula2>
    </dataValidation>
    <dataValidation type="decimal" operator="greaterThanOrEqual" allowBlank="1" showErrorMessage="1" error="Стоимость дропа — число, ₽" sqref="D30:M57">
      <formula1>0</formula1>
    </dataValidation>
    <dataValidation type="decimal" allowBlank="1" showErrorMessage="1" errorTitle="Оценка от 0 до 10" error="Введите число от 0 до 10" sqref="D7:D22">
      <formula1>0</formula1>
      <formula2>10</formula2>
    </dataValidation>
    <dataValidation type="list" allowBlank="1" sqref="F3">
      <formula1>"Компьютер,Телефон,Планшет"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C76B"/>
  </sheetPr>
  <dimension ref="A1:S63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46" customWidth="1"/>
    <col min="15" max="18" width="13" customWidth="1"/>
    <col min="19" max="19" width="30" customWidth="1"/>
  </cols>
  <sheetData>
    <row r="1" ht="34" customHeight="1" spans="1:19" x14ac:dyDescent="0.25">
      <c r="A1" s="23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" x14ac:dyDescent="0.25">
      <c r="A2" s="2" t="s">
        <v>79</v>
      </c>
    </row>
    <row r="3" spans="1:8" x14ac:dyDescent="0.25">
      <c r="A3" s="24" t="s">
        <v>80</v>
      </c>
      <c r="B3" s="4"/>
      <c r="C3" s="24" t="s">
        <v>81</v>
      </c>
      <c r="D3" s="25"/>
      <c r="E3" s="24" t="s">
        <v>82</v>
      </c>
      <c r="F3" s="4"/>
      <c r="G3" s="4"/>
      <c r="H3" s="4"/>
    </row>
    <row r="5" spans="1:6" x14ac:dyDescent="0.25">
      <c r="A5" s="20" t="s">
        <v>83</v>
      </c>
      <c r="B5" s="20"/>
      <c r="C5" s="20"/>
      <c r="D5" s="20"/>
      <c r="E5" s="20"/>
      <c r="F5" s="20"/>
    </row>
    <row r="6" spans="1:9" x14ac:dyDescent="0.25">
      <c r="A6" s="26" t="s">
        <v>84</v>
      </c>
      <c r="B6" s="26" t="s">
        <v>85</v>
      </c>
      <c r="C6" s="26" t="s">
        <v>86</v>
      </c>
      <c r="D6" s="26" t="s">
        <v>87</v>
      </c>
      <c r="E6" s="26" t="s">
        <v>88</v>
      </c>
      <c r="F6" s="26"/>
      <c r="G6" s="26"/>
      <c r="H6" s="26"/>
      <c r="I6" s="26"/>
    </row>
    <row r="7" spans="1:9" x14ac:dyDescent="0.25">
      <c r="A7" s="5">
        <v>1</v>
      </c>
      <c r="B7" s="22" t="s">
        <v>4</v>
      </c>
      <c r="C7" s="27" t="s">
        <v>89</v>
      </c>
      <c r="D7" s="28"/>
      <c r="E7" s="4"/>
      <c r="F7" s="4"/>
      <c r="G7" s="4"/>
      <c r="H7" s="4"/>
      <c r="I7" s="4"/>
    </row>
    <row r="8" spans="1:9" x14ac:dyDescent="0.25">
      <c r="A8" s="5">
        <v>2</v>
      </c>
      <c r="B8" s="22" t="s">
        <v>5</v>
      </c>
      <c r="C8" s="27" t="s">
        <v>90</v>
      </c>
      <c r="D8" s="28"/>
      <c r="E8" s="4"/>
      <c r="F8" s="4"/>
      <c r="G8" s="4"/>
      <c r="H8" s="4"/>
      <c r="I8" s="4"/>
    </row>
    <row r="9" spans="1:9" x14ac:dyDescent="0.25">
      <c r="A9" s="5">
        <v>3</v>
      </c>
      <c r="B9" s="22" t="s">
        <v>6</v>
      </c>
      <c r="C9" s="27" t="s">
        <v>91</v>
      </c>
      <c r="D9" s="28"/>
      <c r="E9" s="4"/>
      <c r="F9" s="4"/>
      <c r="G9" s="4"/>
      <c r="H9" s="4"/>
      <c r="I9" s="4"/>
    </row>
    <row r="10" spans="1:9" x14ac:dyDescent="0.25">
      <c r="A10" s="5">
        <v>4</v>
      </c>
      <c r="B10" s="22" t="s">
        <v>7</v>
      </c>
      <c r="C10" s="27" t="s">
        <v>92</v>
      </c>
      <c r="D10" s="28"/>
      <c r="E10" s="4"/>
      <c r="F10" s="4"/>
      <c r="G10" s="4"/>
      <c r="H10" s="4"/>
      <c r="I10" s="4"/>
    </row>
    <row r="11" spans="1:9" x14ac:dyDescent="0.25">
      <c r="A11" s="5">
        <v>5</v>
      </c>
      <c r="B11" s="22" t="s">
        <v>8</v>
      </c>
      <c r="C11" s="27" t="s">
        <v>93</v>
      </c>
      <c r="D11" s="28"/>
      <c r="E11" s="4"/>
      <c r="F11" s="4"/>
      <c r="G11" s="4"/>
      <c r="H11" s="4"/>
      <c r="I11" s="4"/>
    </row>
    <row r="12" spans="1:9" x14ac:dyDescent="0.25">
      <c r="A12" s="5">
        <v>6</v>
      </c>
      <c r="B12" s="22" t="s">
        <v>9</v>
      </c>
      <c r="C12" s="27" t="s">
        <v>94</v>
      </c>
      <c r="D12" s="28"/>
      <c r="E12" s="4"/>
      <c r="F12" s="4"/>
      <c r="G12" s="4"/>
      <c r="H12" s="4"/>
      <c r="I12" s="4"/>
    </row>
    <row r="13" spans="1:9" x14ac:dyDescent="0.25">
      <c r="A13" s="5">
        <v>7</v>
      </c>
      <c r="B13" s="22" t="s">
        <v>10</v>
      </c>
      <c r="C13" s="27" t="s">
        <v>95</v>
      </c>
      <c r="D13" s="28"/>
      <c r="E13" s="4"/>
      <c r="F13" s="4"/>
      <c r="G13" s="4"/>
      <c r="H13" s="4"/>
      <c r="I13" s="4"/>
    </row>
    <row r="14" spans="1:9" x14ac:dyDescent="0.25">
      <c r="A14" s="5">
        <v>8</v>
      </c>
      <c r="B14" s="22" t="s">
        <v>11</v>
      </c>
      <c r="C14" s="27" t="s">
        <v>96</v>
      </c>
      <c r="D14" s="28"/>
      <c r="E14" s="4"/>
      <c r="F14" s="4"/>
      <c r="G14" s="4"/>
      <c r="H14" s="4"/>
      <c r="I14" s="4"/>
    </row>
    <row r="15" spans="1:9" x14ac:dyDescent="0.25">
      <c r="A15" s="5">
        <v>9</v>
      </c>
      <c r="B15" s="22" t="s">
        <v>12</v>
      </c>
      <c r="C15" s="27" t="s">
        <v>97</v>
      </c>
      <c r="D15" s="28"/>
      <c r="E15" s="4"/>
      <c r="F15" s="4"/>
      <c r="G15" s="4"/>
      <c r="H15" s="4"/>
      <c r="I15" s="4"/>
    </row>
    <row r="16" spans="1:9" x14ac:dyDescent="0.25">
      <c r="A16" s="5">
        <v>10</v>
      </c>
      <c r="B16" s="22" t="s">
        <v>13</v>
      </c>
      <c r="C16" s="27" t="s">
        <v>98</v>
      </c>
      <c r="D16" s="28"/>
      <c r="E16" s="4"/>
      <c r="F16" s="4"/>
      <c r="G16" s="4"/>
      <c r="H16" s="4"/>
      <c r="I16" s="4"/>
    </row>
    <row r="17" spans="1:9" x14ac:dyDescent="0.25">
      <c r="A17" s="5">
        <v>11</v>
      </c>
      <c r="B17" s="22" t="s">
        <v>14</v>
      </c>
      <c r="C17" s="27" t="s">
        <v>99</v>
      </c>
      <c r="D17" s="28"/>
      <c r="E17" s="4"/>
      <c r="F17" s="4"/>
      <c r="G17" s="4"/>
      <c r="H17" s="4"/>
      <c r="I17" s="4"/>
    </row>
    <row r="18" spans="1:9" x14ac:dyDescent="0.25">
      <c r="A18" s="5">
        <v>12</v>
      </c>
      <c r="B18" s="22" t="s">
        <v>15</v>
      </c>
      <c r="C18" s="27" t="s">
        <v>100</v>
      </c>
      <c r="D18" s="28"/>
      <c r="E18" s="4"/>
      <c r="F18" s="4"/>
      <c r="G18" s="4"/>
      <c r="H18" s="4"/>
      <c r="I18" s="4"/>
    </row>
    <row r="19" spans="1:9" x14ac:dyDescent="0.25">
      <c r="A19" s="5">
        <v>13</v>
      </c>
      <c r="B19" s="22" t="s">
        <v>16</v>
      </c>
      <c r="C19" s="27" t="s">
        <v>101</v>
      </c>
      <c r="D19" s="28"/>
      <c r="E19" s="4"/>
      <c r="F19" s="4"/>
      <c r="G19" s="4"/>
      <c r="H19" s="4"/>
      <c r="I19" s="4"/>
    </row>
    <row r="20" spans="1:9" x14ac:dyDescent="0.25">
      <c r="A20" s="5">
        <v>14</v>
      </c>
      <c r="B20" s="22" t="s">
        <v>17</v>
      </c>
      <c r="C20" s="27" t="s">
        <v>102</v>
      </c>
      <c r="D20" s="28"/>
      <c r="E20" s="4"/>
      <c r="F20" s="4"/>
      <c r="G20" s="4"/>
      <c r="H20" s="4"/>
      <c r="I20" s="4"/>
    </row>
    <row r="21" spans="1:9" x14ac:dyDescent="0.25">
      <c r="A21" s="5">
        <v>15</v>
      </c>
      <c r="B21" s="22" t="s">
        <v>18</v>
      </c>
      <c r="C21" s="27" t="s">
        <v>103</v>
      </c>
      <c r="D21" s="28"/>
      <c r="E21" s="4"/>
      <c r="F21" s="4"/>
      <c r="G21" s="4"/>
      <c r="H21" s="4"/>
      <c r="I21" s="4"/>
    </row>
    <row r="22" spans="1:9" x14ac:dyDescent="0.25">
      <c r="A22" s="5">
        <v>16</v>
      </c>
      <c r="B22" s="22" t="s">
        <v>19</v>
      </c>
      <c r="C22" s="27" t="s">
        <v>104</v>
      </c>
      <c r="D22" s="28"/>
      <c r="E22" s="4"/>
      <c r="F22" s="4"/>
      <c r="G22" s="4"/>
      <c r="H22" s="4"/>
      <c r="I22" s="4"/>
    </row>
    <row r="24" spans="2:4" x14ac:dyDescent="0.25">
      <c r="B24" s="29" t="s">
        <v>105</v>
      </c>
      <c r="C24" s="30">
        <f>IF(D24="","",IF(D24&gt;=9,"Отлично",IF(D24&gt;=7,"Хорошо",IF(D24&gt;=5,"Средне","Плохо"))))</f>
      </c>
      <c r="D24" s="31">
        <f>IF(COUNT(D7:D22)=0,"",ROUND(AVERAGE(D7:D22),1))</f>
      </c>
    </row>
    <row r="25" spans="2:4" x14ac:dyDescent="0.25">
      <c r="B25" t="s">
        <v>106</v>
      </c>
      <c r="D25" s="32">
        <f>COUNT(D7:D22)&amp;" из 16"</f>
      </c>
    </row>
    <row r="28" spans="1:19" x14ac:dyDescent="0.25">
      <c r="A28" s="20" t="s">
        <v>107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30" customHeight="1" spans="1:19" x14ac:dyDescent="0.25">
      <c r="A29" s="33" t="s">
        <v>37</v>
      </c>
      <c r="B29" s="33" t="s">
        <v>38</v>
      </c>
      <c r="C29" s="33" t="s">
        <v>108</v>
      </c>
      <c r="D29" s="33" t="s">
        <v>109</v>
      </c>
      <c r="E29" s="33" t="s">
        <v>110</v>
      </c>
      <c r="F29" s="33" t="s">
        <v>111</v>
      </c>
      <c r="G29" s="33" t="s">
        <v>112</v>
      </c>
      <c r="H29" s="33" t="s">
        <v>113</v>
      </c>
      <c r="I29" s="33" t="s">
        <v>114</v>
      </c>
      <c r="J29" s="33" t="s">
        <v>115</v>
      </c>
      <c r="K29" s="33" t="s">
        <v>116</v>
      </c>
      <c r="L29" s="33" t="s">
        <v>117</v>
      </c>
      <c r="M29" s="33" t="s">
        <v>118</v>
      </c>
      <c r="N29" s="33" t="s">
        <v>40</v>
      </c>
      <c r="O29" s="33" t="s">
        <v>22</v>
      </c>
      <c r="P29" s="33" t="s">
        <v>23</v>
      </c>
      <c r="Q29" s="33" t="s">
        <v>24</v>
      </c>
      <c r="R29" s="33" t="s">
        <v>25</v>
      </c>
      <c r="S29" s="33" t="s">
        <v>88</v>
      </c>
    </row>
    <row r="30" spans="1:19" x14ac:dyDescent="0.25">
      <c r="A30" s="27" t="s">
        <v>41</v>
      </c>
      <c r="B30" s="22" t="s">
        <v>42</v>
      </c>
      <c r="C30" s="8">
        <v>29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5">
        <f>COUNT(D30:M30)</f>
      </c>
      <c r="O30" s="8">
        <f>C30*N30</f>
      </c>
      <c r="P30" s="8">
        <f>SUM(D30:M30)</f>
      </c>
      <c r="Q30" s="9">
        <f>IF(O30&gt;0,P30/O30,"")</f>
      </c>
      <c r="R30" s="10">
        <f>IF(N30&gt;0,P30-O30,"")</f>
      </c>
      <c r="S30" s="4"/>
    </row>
    <row r="31" spans="1:19" x14ac:dyDescent="0.25">
      <c r="A31" s="27" t="s">
        <v>41</v>
      </c>
      <c r="B31" s="22" t="s">
        <v>43</v>
      </c>
      <c r="C31" s="8">
        <v>379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5">
        <f>COUNT(D31:M31)</f>
      </c>
      <c r="O31" s="8">
        <f>C31*N31</f>
      </c>
      <c r="P31" s="8">
        <f>SUM(D31:M31)</f>
      </c>
      <c r="Q31" s="9">
        <f>IF(O31&gt;0,P31/O31,"")</f>
      </c>
      <c r="R31" s="10">
        <f>IF(N31&gt;0,P31-O31,"")</f>
      </c>
      <c r="S31" s="4"/>
    </row>
    <row r="32" spans="1:19" x14ac:dyDescent="0.25">
      <c r="A32" s="27" t="s">
        <v>41</v>
      </c>
      <c r="B32" s="22" t="s">
        <v>44</v>
      </c>
      <c r="C32" s="8">
        <v>819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5">
        <f>COUNT(D32:M32)</f>
      </c>
      <c r="O32" s="8">
        <f>C32*N32</f>
      </c>
      <c r="P32" s="8">
        <f>SUM(D32:M32)</f>
      </c>
      <c r="Q32" s="9">
        <f>IF(O32&gt;0,P32/O32,"")</f>
      </c>
      <c r="R32" s="10">
        <f>IF(N32&gt;0,P32-O32,"")</f>
      </c>
      <c r="S32" s="4"/>
    </row>
    <row r="33" spans="1:19" x14ac:dyDescent="0.25">
      <c r="A33" s="27" t="s">
        <v>41</v>
      </c>
      <c r="B33" s="22" t="s">
        <v>45</v>
      </c>
      <c r="C33" s="8">
        <v>169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5">
        <f>COUNT(D33:M33)</f>
      </c>
      <c r="O33" s="8">
        <f>C33*N33</f>
      </c>
      <c r="P33" s="8">
        <f>SUM(D33:M33)</f>
      </c>
      <c r="Q33" s="9">
        <f>IF(O33&gt;0,P33/O33,"")</f>
      </c>
      <c r="R33" s="10">
        <f>IF(N33&gt;0,P33-O33,"")</f>
      </c>
      <c r="S33" s="4"/>
    </row>
    <row r="34" spans="1:19" x14ac:dyDescent="0.25">
      <c r="A34" s="27" t="s">
        <v>41</v>
      </c>
      <c r="B34" s="22" t="s">
        <v>46</v>
      </c>
      <c r="C34" s="8">
        <v>59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5">
        <f>COUNT(D34:M34)</f>
      </c>
      <c r="O34" s="8">
        <f>C34*N34</f>
      </c>
      <c r="P34" s="8">
        <f>SUM(D34:M34)</f>
      </c>
      <c r="Q34" s="9">
        <f>IF(O34&gt;0,P34/O34,"")</f>
      </c>
      <c r="R34" s="10">
        <f>IF(N34&gt;0,P34-O34,"")</f>
      </c>
      <c r="S34" s="4"/>
    </row>
    <row r="35" spans="1:19" x14ac:dyDescent="0.25">
      <c r="A35" s="27" t="s">
        <v>41</v>
      </c>
      <c r="B35" s="22" t="s">
        <v>47</v>
      </c>
      <c r="C35" s="8">
        <v>199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5">
        <f>COUNT(D35:M35)</f>
      </c>
      <c r="O35" s="8">
        <f>C35*N35</f>
      </c>
      <c r="P35" s="8">
        <f>SUM(D35:M35)</f>
      </c>
      <c r="Q35" s="9">
        <f>IF(O35&gt;0,P35/O35,"")</f>
      </c>
      <c r="R35" s="10">
        <f>IF(N35&gt;0,P35-O35,"")</f>
      </c>
      <c r="S35" s="4"/>
    </row>
    <row r="36" spans="1:19" x14ac:dyDescent="0.25">
      <c r="A36" s="27" t="s">
        <v>48</v>
      </c>
      <c r="B36" s="22" t="s">
        <v>49</v>
      </c>
      <c r="C36" s="8">
        <v>169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5">
        <f>COUNT(D36:M36)</f>
      </c>
      <c r="O36" s="8">
        <f>C36*N36</f>
      </c>
      <c r="P36" s="8">
        <f>SUM(D36:M36)</f>
      </c>
      <c r="Q36" s="9">
        <f>IF(O36&gt;0,P36/O36,"")</f>
      </c>
      <c r="R36" s="10">
        <f>IF(N36&gt;0,P36-O36,"")</f>
      </c>
      <c r="S36" s="4"/>
    </row>
    <row r="37" spans="1:19" x14ac:dyDescent="0.25">
      <c r="A37" s="27" t="s">
        <v>48</v>
      </c>
      <c r="B37" s="22" t="s">
        <v>50</v>
      </c>
      <c r="C37" s="8">
        <v>245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5">
        <f>COUNT(D37:M37)</f>
      </c>
      <c r="O37" s="8">
        <f>C37*N37</f>
      </c>
      <c r="P37" s="8">
        <f>SUM(D37:M37)</f>
      </c>
      <c r="Q37" s="9">
        <f>IF(O37&gt;0,P37/O37,"")</f>
      </c>
      <c r="R37" s="10">
        <f>IF(N37&gt;0,P37-O37,"")</f>
      </c>
      <c r="S37" s="4"/>
    </row>
    <row r="38" spans="1:19" x14ac:dyDescent="0.25">
      <c r="A38" s="27" t="s">
        <v>48</v>
      </c>
      <c r="B38" s="22" t="s">
        <v>51</v>
      </c>
      <c r="C38" s="8">
        <v>322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5">
        <f>COUNT(D38:M38)</f>
      </c>
      <c r="O38" s="8">
        <f>C38*N38</f>
      </c>
      <c r="P38" s="8">
        <f>SUM(D38:M38)</f>
      </c>
      <c r="Q38" s="9">
        <f>IF(O38&gt;0,P38/O38,"")</f>
      </c>
      <c r="R38" s="10">
        <f>IF(N38&gt;0,P38-O38,"")</f>
      </c>
      <c r="S38" s="4"/>
    </row>
    <row r="39" spans="1:19" x14ac:dyDescent="0.25">
      <c r="A39" s="27" t="s">
        <v>48</v>
      </c>
      <c r="B39" s="22" t="s">
        <v>52</v>
      </c>
      <c r="C39" s="8">
        <v>666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5">
        <f>COUNT(D39:M39)</f>
      </c>
      <c r="O39" s="8">
        <f>C39*N39</f>
      </c>
      <c r="P39" s="8">
        <f>SUM(D39:M39)</f>
      </c>
      <c r="Q39" s="9">
        <f>IF(O39&gt;0,P39/O39,"")</f>
      </c>
      <c r="R39" s="10">
        <f>IF(N39&gt;0,P39-O39,"")</f>
      </c>
      <c r="S39" s="4"/>
    </row>
    <row r="40" spans="1:19" x14ac:dyDescent="0.25">
      <c r="A40" s="27" t="s">
        <v>53</v>
      </c>
      <c r="B40" s="22" t="s">
        <v>54</v>
      </c>
      <c r="C40" s="8">
        <v>249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5">
        <f>COUNT(D40:M40)</f>
      </c>
      <c r="O40" s="8">
        <f>C40*N40</f>
      </c>
      <c r="P40" s="8">
        <f>SUM(D40:M40)</f>
      </c>
      <c r="Q40" s="9">
        <f>IF(O40&gt;0,P40/O40,"")</f>
      </c>
      <c r="R40" s="10">
        <f>IF(N40&gt;0,P40-O40,"")</f>
      </c>
      <c r="S40" s="4"/>
    </row>
    <row r="41" spans="1:19" x14ac:dyDescent="0.25">
      <c r="A41" s="27" t="s">
        <v>53</v>
      </c>
      <c r="B41" s="22" t="s">
        <v>55</v>
      </c>
      <c r="C41" s="8">
        <v>299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5">
        <f>COUNT(D41:M41)</f>
      </c>
      <c r="O41" s="8">
        <f>C41*N41</f>
      </c>
      <c r="P41" s="8">
        <f>SUM(D41:M41)</f>
      </c>
      <c r="Q41" s="9">
        <f>IF(O41&gt;0,P41/O41,"")</f>
      </c>
      <c r="R41" s="10">
        <f>IF(N41&gt;0,P41-O41,"")</f>
      </c>
      <c r="S41" s="4"/>
    </row>
    <row r="42" spans="1:19" x14ac:dyDescent="0.25">
      <c r="A42" s="27" t="s">
        <v>53</v>
      </c>
      <c r="B42" s="22" t="s">
        <v>56</v>
      </c>
      <c r="C42" s="8">
        <v>299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5">
        <f>COUNT(D42:M42)</f>
      </c>
      <c r="O42" s="8">
        <f>C42*N42</f>
      </c>
      <c r="P42" s="8">
        <f>SUM(D42:M42)</f>
      </c>
      <c r="Q42" s="9">
        <f>IF(O42&gt;0,P42/O42,"")</f>
      </c>
      <c r="R42" s="10">
        <f>IF(N42&gt;0,P42-O42,"")</f>
      </c>
      <c r="S42" s="4"/>
    </row>
    <row r="43" spans="1:19" x14ac:dyDescent="0.25">
      <c r="A43" s="27" t="s">
        <v>53</v>
      </c>
      <c r="B43" s="22" t="s">
        <v>57</v>
      </c>
      <c r="C43" s="8">
        <v>349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">
        <f>COUNT(D43:M43)</f>
      </c>
      <c r="O43" s="8">
        <f>C43*N43</f>
      </c>
      <c r="P43" s="8">
        <f>SUM(D43:M43)</f>
      </c>
      <c r="Q43" s="9">
        <f>IF(O43&gt;0,P43/O43,"")</f>
      </c>
      <c r="R43" s="10">
        <f>IF(N43&gt;0,P43-O43,"")</f>
      </c>
      <c r="S43" s="4"/>
    </row>
    <row r="44" spans="1:19" x14ac:dyDescent="0.25">
      <c r="A44" s="27" t="s">
        <v>53</v>
      </c>
      <c r="B44" s="22" t="s">
        <v>58</v>
      </c>
      <c r="C44" s="8">
        <v>349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5">
        <f>COUNT(D44:M44)</f>
      </c>
      <c r="O44" s="8">
        <f>C44*N44</f>
      </c>
      <c r="P44" s="8">
        <f>SUM(D44:M44)</f>
      </c>
      <c r="Q44" s="9">
        <f>IF(O44&gt;0,P44/O44,"")</f>
      </c>
      <c r="R44" s="10">
        <f>IF(N44&gt;0,P44-O44,"")</f>
      </c>
      <c r="S44" s="4"/>
    </row>
    <row r="45" spans="1:19" x14ac:dyDescent="0.25">
      <c r="A45" s="27" t="s">
        <v>53</v>
      </c>
      <c r="B45" s="22" t="s">
        <v>59</v>
      </c>
      <c r="C45" s="8">
        <v>499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5">
        <f>COUNT(D45:M45)</f>
      </c>
      <c r="O45" s="8">
        <f>C45*N45</f>
      </c>
      <c r="P45" s="8">
        <f>SUM(D45:M45)</f>
      </c>
      <c r="Q45" s="9">
        <f>IF(O45&gt;0,P45/O45,"")</f>
      </c>
      <c r="R45" s="10">
        <f>IF(N45&gt;0,P45-O45,"")</f>
      </c>
      <c r="S45" s="4"/>
    </row>
    <row r="46" spans="1:19" x14ac:dyDescent="0.25">
      <c r="A46" s="27" t="s">
        <v>60</v>
      </c>
      <c r="B46" s="22" t="s">
        <v>61</v>
      </c>
      <c r="C46" s="8">
        <v>15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5">
        <f>COUNT(D46:M46)</f>
      </c>
      <c r="O46" s="8">
        <f>C46*N46</f>
      </c>
      <c r="P46" s="8">
        <f>SUM(D46:M46)</f>
      </c>
      <c r="Q46" s="9">
        <f>IF(O46&gt;0,P46/O46,"")</f>
      </c>
      <c r="R46" s="10">
        <f>IF(N46&gt;0,P46-O46,"")</f>
      </c>
      <c r="S46" s="4"/>
    </row>
    <row r="47" spans="1:19" x14ac:dyDescent="0.25">
      <c r="A47" s="27" t="s">
        <v>60</v>
      </c>
      <c r="B47" s="22" t="s">
        <v>62</v>
      </c>
      <c r="C47" s="8">
        <v>60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5">
        <f>COUNT(D47:M47)</f>
      </c>
      <c r="O47" s="8">
        <f>C47*N47</f>
      </c>
      <c r="P47" s="8">
        <f>SUM(D47:M47)</f>
      </c>
      <c r="Q47" s="9">
        <f>IF(O47&gt;0,P47/O47,"")</f>
      </c>
      <c r="R47" s="10">
        <f>IF(N47&gt;0,P47-O47,"")</f>
      </c>
      <c r="S47" s="4"/>
    </row>
    <row r="48" spans="1:19" x14ac:dyDescent="0.25">
      <c r="A48" s="27" t="s">
        <v>63</v>
      </c>
      <c r="B48" s="22" t="s">
        <v>64</v>
      </c>
      <c r="C48" s="8">
        <v>3549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5">
        <f>COUNT(D48:M48)</f>
      </c>
      <c r="O48" s="8">
        <f>C48*N48</f>
      </c>
      <c r="P48" s="8">
        <f>SUM(D48:M48)</f>
      </c>
      <c r="Q48" s="9">
        <f>IF(O48&gt;0,P48/O48,"")</f>
      </c>
      <c r="R48" s="10">
        <f>IF(N48&gt;0,P48-O48,"")</f>
      </c>
      <c r="S48" s="4"/>
    </row>
    <row r="49" spans="1:19" x14ac:dyDescent="0.25">
      <c r="A49" s="27" t="s">
        <v>63</v>
      </c>
      <c r="B49" s="22" t="s">
        <v>65</v>
      </c>
      <c r="C49" s="8">
        <v>39999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5">
        <f>COUNT(D49:M49)</f>
      </c>
      <c r="O49" s="8">
        <f>C49*N49</f>
      </c>
      <c r="P49" s="8">
        <f>SUM(D49:M49)</f>
      </c>
      <c r="Q49" s="9">
        <f>IF(O49&gt;0,P49/O49,"")</f>
      </c>
      <c r="R49" s="10">
        <f>IF(N49&gt;0,P49-O49,"")</f>
      </c>
      <c r="S49" s="4"/>
    </row>
    <row r="50" spans="1:19" x14ac:dyDescent="0.25">
      <c r="A50" s="27" t="s">
        <v>63</v>
      </c>
      <c r="B50" s="22" t="s">
        <v>66</v>
      </c>
      <c r="C50" s="8">
        <v>89999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5">
        <f>COUNT(D50:M50)</f>
      </c>
      <c r="O50" s="8">
        <f>C50*N50</f>
      </c>
      <c r="P50" s="8">
        <f>SUM(D50:M50)</f>
      </c>
      <c r="Q50" s="9">
        <f>IF(O50&gt;0,P50/O50,"")</f>
      </c>
      <c r="R50" s="10">
        <f>IF(N50&gt;0,P50-O50,"")</f>
      </c>
      <c r="S50" s="4"/>
    </row>
    <row r="51" spans="1:19" x14ac:dyDescent="0.25">
      <c r="A51" s="27" t="s">
        <v>67</v>
      </c>
      <c r="B51" s="22" t="s">
        <v>68</v>
      </c>
      <c r="C51" s="8">
        <v>499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5">
        <f>COUNT(D51:M51)</f>
      </c>
      <c r="O51" s="8">
        <f>C51*N51</f>
      </c>
      <c r="P51" s="8">
        <f>SUM(D51:M51)</f>
      </c>
      <c r="Q51" s="9">
        <f>IF(O51&gt;0,P51/O51,"")</f>
      </c>
      <c r="R51" s="10">
        <f>IF(N51&gt;0,P51-O51,"")</f>
      </c>
      <c r="S51" s="4"/>
    </row>
    <row r="52" spans="1:19" x14ac:dyDescent="0.25">
      <c r="A52" s="27" t="s">
        <v>67</v>
      </c>
      <c r="B52" s="22" t="s">
        <v>69</v>
      </c>
      <c r="C52" s="8">
        <v>3999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5">
        <f>COUNT(D52:M52)</f>
      </c>
      <c r="O52" s="8">
        <f>C52*N52</f>
      </c>
      <c r="P52" s="8">
        <f>SUM(D52:M52)</f>
      </c>
      <c r="Q52" s="9">
        <f>IF(O52&gt;0,P52/O52,"")</f>
      </c>
      <c r="R52" s="10">
        <f>IF(N52&gt;0,P52-O52,"")</f>
      </c>
      <c r="S52" s="4"/>
    </row>
    <row r="53" spans="1:19" x14ac:dyDescent="0.25">
      <c r="A53" s="27" t="s">
        <v>70</v>
      </c>
      <c r="B53" s="22" t="s">
        <v>71</v>
      </c>
      <c r="C53" s="8">
        <v>149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5">
        <f>COUNT(D53:M53)</f>
      </c>
      <c r="O53" s="8">
        <f>C53*N53</f>
      </c>
      <c r="P53" s="8">
        <f>SUM(D53:M53)</f>
      </c>
      <c r="Q53" s="9">
        <f>IF(O53&gt;0,P53/O53,"")</f>
      </c>
      <c r="R53" s="10">
        <f>IF(N53&gt;0,P53-O53,"")</f>
      </c>
      <c r="S53" s="4"/>
    </row>
    <row r="54" spans="1:19" x14ac:dyDescent="0.25">
      <c r="A54" s="27" t="s">
        <v>70</v>
      </c>
      <c r="B54" s="22" t="s">
        <v>72</v>
      </c>
      <c r="C54" s="8">
        <v>249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5">
        <f>COUNT(D54:M54)</f>
      </c>
      <c r="O54" s="8">
        <f>C54*N54</f>
      </c>
      <c r="P54" s="8">
        <f>SUM(D54:M54)</f>
      </c>
      <c r="Q54" s="9">
        <f>IF(O54&gt;0,P54/O54,"")</f>
      </c>
      <c r="R54" s="10">
        <f>IF(N54&gt;0,P54-O54,"")</f>
      </c>
      <c r="S54" s="4"/>
    </row>
    <row r="55" spans="1:19" x14ac:dyDescent="0.25">
      <c r="A55" s="27" t="s">
        <v>70</v>
      </c>
      <c r="B55" s="22" t="s">
        <v>73</v>
      </c>
      <c r="C55" s="8">
        <v>399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5">
        <f>COUNT(D55:M55)</f>
      </c>
      <c r="O55" s="8">
        <f>C55*N55</f>
      </c>
      <c r="P55" s="8">
        <f>SUM(D55:M55)</f>
      </c>
      <c r="Q55" s="9">
        <f>IF(O55&gt;0,P55/O55,"")</f>
      </c>
      <c r="R55" s="10">
        <f>IF(N55&gt;0,P55-O55,"")</f>
      </c>
      <c r="S55" s="4"/>
    </row>
    <row r="56" spans="1:19" x14ac:dyDescent="0.25">
      <c r="A56" s="27" t="s">
        <v>74</v>
      </c>
      <c r="B56" s="22" t="s">
        <v>75</v>
      </c>
      <c r="C56" s="8">
        <v>249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5">
        <f>COUNT(D56:M56)</f>
      </c>
      <c r="O56" s="8">
        <f>C56*N56</f>
      </c>
      <c r="P56" s="8">
        <f>SUM(D56:M56)</f>
      </c>
      <c r="Q56" s="9">
        <f>IF(O56&gt;0,P56/O56,"")</f>
      </c>
      <c r="R56" s="10">
        <f>IF(N56&gt;0,P56-O56,"")</f>
      </c>
      <c r="S56" s="4"/>
    </row>
    <row r="57" spans="1:19" x14ac:dyDescent="0.25">
      <c r="A57" s="27" t="s">
        <v>76</v>
      </c>
      <c r="B57" s="22" t="s">
        <v>77</v>
      </c>
      <c r="C57" s="8">
        <v>149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5">
        <f>COUNT(D57:M57)</f>
      </c>
      <c r="O57" s="8">
        <f>C57*N57</f>
      </c>
      <c r="P57" s="8">
        <f>SUM(D57:M57)</f>
      </c>
      <c r="Q57" s="9">
        <f>IF(O57&gt;0,P57/O57,"")</f>
      </c>
      <c r="R57" s="10">
        <f>IF(N57&gt;0,P57-O57,"")</f>
      </c>
      <c r="S57" s="4"/>
    </row>
    <row r="58" spans="1:19" x14ac:dyDescent="0.25">
      <c r="A58" s="11"/>
      <c r="B58" s="11" t="s">
        <v>119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>
        <f>SUM(N30:N57)</f>
      </c>
      <c r="O58" s="13">
        <f>SUM(O30:O57)</f>
      </c>
      <c r="P58" s="13">
        <f>SUM(P30:P57)</f>
      </c>
      <c r="Q58" s="14">
        <f>IF(O58&gt;0,P58/O58,"")</f>
      </c>
      <c r="R58" s="15">
        <f>P58-O58</f>
      </c>
      <c r="S58" s="11"/>
    </row>
    <row r="60" spans="2:5" x14ac:dyDescent="0.25">
      <c r="B60" s="35" t="s">
        <v>120</v>
      </c>
      <c r="C60" s="35"/>
      <c r="D60" s="36">
        <f>IF(O58&gt;0,P58/O58,"")</f>
      </c>
      <c r="E60" s="36"/>
    </row>
    <row r="61" spans="2:5" x14ac:dyDescent="0.25">
      <c r="B61" s="35" t="s">
        <v>121</v>
      </c>
      <c r="C61" s="35"/>
      <c r="D61" s="37">
        <f>MAX(0,O58-P58)</f>
      </c>
      <c r="E61" s="37"/>
    </row>
    <row r="62" spans="2:5" x14ac:dyDescent="0.25">
      <c r="B62" s="35" t="s">
        <v>122</v>
      </c>
      <c r="C62" s="35"/>
      <c r="D62" s="36">
        <f>IF(O58&gt;0,MAX(0,1-P58/O58),"")</f>
      </c>
      <c r="E62" s="36"/>
    </row>
    <row r="63" spans="2:5" x14ac:dyDescent="0.25">
      <c r="B63" s="35" t="s">
        <v>123</v>
      </c>
      <c r="C63" s="35"/>
      <c r="D63" s="37">
        <f>MAX(0,P58-O58)</f>
      </c>
      <c r="E63" s="37"/>
    </row>
  </sheetData>
  <mergeCells count="29">
    <mergeCell ref="A1:S1"/>
    <mergeCell ref="F3:H3"/>
    <mergeCell ref="A5:F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A28:S28"/>
    <mergeCell ref="B60:C60"/>
    <mergeCell ref="D60:E60"/>
    <mergeCell ref="B61:C61"/>
    <mergeCell ref="D61:E61"/>
    <mergeCell ref="B62:C62"/>
    <mergeCell ref="D62:E62"/>
    <mergeCell ref="B63:C63"/>
    <mergeCell ref="D63:E63"/>
  </mergeCells>
  <conditionalFormatting sqref="Q30:Q58">
    <cfRule type="cellIs" dxfId="18" priority="1" operator="lessThan">
      <formula>1</formula>
    </cfRule>
    <cfRule type="cellIs" dxfId="19" priority="2" operator="greaterThanOrEqual">
      <formula>1</formula>
    </cfRule>
  </conditionalFormatting>
  <conditionalFormatting sqref="R30:R58">
    <cfRule type="cellIs" dxfId="20" priority="3" operator="lessThan">
      <formula>0</formula>
    </cfRule>
    <cfRule type="cellIs" dxfId="21" priority="4" operator="greaterThan">
      <formula>0</formula>
    </cfRule>
  </conditionalFormatting>
  <dataValidations count="4">
    <dataValidation type="decimal" allowBlank="1" showErrorMessage="1" errorTitle="Оценка от 0 до 10" error="Введите число от 0 до 10" sqref="D10:D22">
      <formula1>0</formula1>
      <formula2>10</formula2>
    </dataValidation>
    <dataValidation type="decimal" operator="greaterThanOrEqual" allowBlank="1" showErrorMessage="1" error="Стоимость дропа — число, ₽" sqref="D30:M57">
      <formula1>0</formula1>
    </dataValidation>
    <dataValidation type="decimal" allowBlank="1" showErrorMessage="1" errorTitle="Оценка от 0 до 10" error="Введите число от 0 до 10" sqref="D7:D22">
      <formula1>0</formula1>
      <formula2>10</formula2>
    </dataValidation>
    <dataValidation type="list" allowBlank="1" sqref="F3">
      <formula1>"Компьютер,Телефон,Планшет"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Итоги</vt:lpstr>
      <vt:lpstr>Тестер 1</vt:lpstr>
      <vt:lpstr>Тестер 2</vt:lpstr>
      <vt:lpstr>Тестер 3</vt:lpstr>
      <vt:lpstr>Тестер 4</vt:lpstr>
      <vt:lpstr>Тестер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 CASE</dc:creator>
  <dc:title/>
  <dc:subject/>
  <dc:description/>
  <cp:keywords/>
  <cp:category/>
  <cp:lastModifiedBy>Unknown</cp:lastModifiedBy>
  <dcterms:created xsi:type="dcterms:W3CDTF">2026-10-28T13:50:08Z</dcterms:created>
  <dcterms:modified xsi:type="dcterms:W3CDTF">2026-10-28T13:50:08Z</dcterms:modified>
</cp:coreProperties>
</file>